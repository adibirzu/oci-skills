
<file path=[Content_Types].xml><?xml version="1.0" encoding="utf-8"?>
<Types xmlns="http://schemas.openxmlformats.org/package/2006/content-types">
  <Default Extension="xml" ContentType="application/vnd.openxmlformats-officedocument.spreadsheetml.sheet.main+xml"/>
  <Default Extension="emf" ContentType="image/x-emf"/>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9c2506dda6419b" /></Relationships>
</file>

<file path=xl/workbook.xml><?xml version="1.0" encoding="utf-8"?>
<x:workbook xmlns:x="http://schemas.openxmlformats.org/spreadsheetml/2006/main">
  <x:sheets>
    <x:sheet xmlns:r="http://schemas.openxmlformats.org/officeDocument/2006/relationships" name="Commercials" sheetId="35" r:id="R19956a9a99734fde"/>
    <x:sheet xmlns:r="http://schemas.openxmlformats.org/officeDocument/2006/relationships" name="Bill of Material" sheetId="36" r:id="Re7df80c28ecd4bc1"/>
    <x:sheet xmlns:r="http://schemas.openxmlformats.org/officeDocument/2006/relationships" name="Terms &amp; Conditions of Response" sheetId="37" r:id="Rbd297066ec354984"/>
    <x:sheet xmlns:r="http://schemas.openxmlformats.org/officeDocument/2006/relationships" name="OCI Price Inputs" sheetId="38" r:id="Ra468ce2ae07b4dad"/>
  </x:sheets>
  <x:definedNames>
    <x:definedName name="Resource_Management">[1]!Table1[Resource Management]</x:definedName>
    <x:definedName name="Resource_Management" localSheetId="0">[1]!Table1[Resource Management]</x:definedName>
  </x:definedName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<x:sst xmlns:x="http://schemas.openxmlformats.org/spreadsheetml/2006/main">
  <x:si>
    <x:t xml:space="preserve">(Please fill the cells with this color)</x:t>
  </x:si>
  <x:si>
    <x:t xml:space="preserve">Terms &amp; Conditions of Response</x:t>
  </x:si>
  <x:si>
    <x:t xml:space="preserve">GENERAL TERMS AND CONDITIONS FOR ORACLE’S PROPOSAL</x:t>
  </x:si>
  <x:si>
    <x:t xml:space="preserve">Oracle Systems Limited (“Oracle”) is pleased to have the opportunity to provide Axian Telecom   Holding and Management Ltd (“you”) with a proposal for the Axian Telecom Centralized Monitoring Observability RFP  (“the proposal”)</x:t>
  </x:si>
  <x:si>
    <x:t xml:space="preserve">The proposal is subject to the below general terms and conditions (these “general terms and conditions”). If you do not agree to be bound by these general terms and conditions, you must promptly disregard and delete the proposal, without opening or reading any of the information provided by Oracle.</x:t>
  </x:si>
  <x:si>
    <x:t xml:space="preserve">These general terms and conditions will prevail in the event of any inconsistencies with any terms and conditions of the Axian Telecom Centralized Monitoring Observability Solution  - Request For Information (the “RFP”).</x:t>
  </x:si>
  <x:si>
    <x:t xml:space="preserve">Evaluation</x:t>
  </x:si>
  <x:si>
    <x:t xml:space="preserve">·       The proposal is for your evaluation purposes only. The proposal is not for incorporation into any contract that may result between you and Oracle for products and/or services, nor does it act to amend any existing agreements or orders. Neither you nor Oracle shall be obligated in any way until the parties have executed a final agreement for the applicable Oracle products and/or services. Oracle disclaims and takes exception to any terms or statements contained in or with the Axian Telecom OSS / BSS  Solution - Request For Information that (i) seek to impose legal or operational requirements on Oracle with regards to its products or the delivery of its services or (ii) conflict with these general terms and conditions.</x:t>
  </x:si>
  <x:si>
    <x:t xml:space="preserve">·       The proposal (and all Oracle statements and responses contained herein), as well as any related demonstrations, are provided on an “AS-IS” basis, and shall not be construed as creating any representation or warranty including, but not limited to, implied warranties of fitness for a particular purpose, satisfactory quality or merchantability, representations or warranties as to performance, or product or service availability. Oracle’s statements and responses in the proposal remain subject to change, without notice. All representations and warranties will be as stated in the executed final agreement for the applicable Oracle products and/or services.</x:t>
  </x:si>
  <x:si>
    <x:t xml:space="preserve">·       The proposal is based upon information that you have provided to Oracle. You are solely responsible for determining if the Oracle products and/or services described in the proposal meet your requirements, including any regulatory or legal obligations. Oracle’s responses and statements provided in the proposal apply solely to the Oracle products and/or services specifically discussed in the proposal. Any “Yes/No” / “Compliant/Non-Compliant” / “In place” or like indicators provided by Oracle in the proposal, such as in technical and functional matrices, must be read in the context of Oracle’s explanations and assumptions provided in the proposal.</x:t>
  </x:si>
  <x:si>
    <x:t xml:space="preserve">Ownership</x:t>
  </x:si>
  <x:si>
    <x:t xml:space="preserve">·       Oracle’s proposal materials are owned or licensed by Oracle, and are Oracle’s or its licensors’ copyrighted property. You do not acquire any intellectual property rights in materials or property provided by Oracle under the proposal.</x:t>
  </x:si>
  <x:si>
    <x:t xml:space="preserve">Confidentiality</x:t>
  </x:si>
  <x:si>
    <x:t xml:space="preserve">·       The proposal (including all narrative and Yes/No responses) is proprietary and confidential to Oracle, whether or not an individual response included in the proposal is marked as such, and must be held in strict confidence. Subject to these general terms and conditions, you may use the information included in the proposal solely for the purpose of evaluating your potential acquisition of the applicable Oracle products and/or services, and you may not disclose such information or otherwise make it available to any third parties.   In addition, you may share the proposal with your employees, agents and subcontractors who have a “need to know” such information in connection with your evaluation of the proposal; provided that, their use remains limited to the foregoing purpose and subject to confidential treatment of the proposal pursuant to a written agreement with you that contains terms that are no less protective than those included hereunder; you are responsible for your employees’, agents’ and subcontractors’ compliance with these general terms and conditions.</x:t>
  </x:si>
  <x:si>
    <x:t xml:space="preserve">Contract Terms</x:t>
  </x:si>
  <x:si>
    <x:t xml:space="preserve">·       Any  Software &amp; Oracle cloud services  will be provided in accordance with the terms of your Oracle Master Agreement   &amp;  Oracle Cloud Services Agreement as may be amended by you and Oracle following award of the contract to Oracle (the “Agreement”) and one or more Oracle ordering document(s) governed by such Agreement. The final Agreement and ordering document(s) will be executed within thirty (30) days after notification of award, or such other reasonable time period as may be agreed by you and Oracle.</x:t>
  </x:si>
  <x:si>
    <x:t xml:space="preserve">·       The prices set forth in the proposal are exclusive of any sales, value-added or other similar taxes imposed by applicable law that Oracle must pay based on the products and/or services, except for taxes based on Oracle’s income. The prices are also exclusive of shipping and media charges.</x:t>
  </x:si>
  <x:si>
    <x:t xml:space="preserve">·       You may not rely on any future availability of any program(s) or program/computer hardware/operating system combination in evaluating Oracle’s proposal or awarding a contract to Oracle.</x:t>
  </x:si>
  <x:si>
    <x:t xml:space="preserve">Validity Date</x:t>
  </x:si>
  <x:si>
    <x:t xml:space="preserve">·       Oracle’s proposal is valid for a period of 90 days from the due date of the request, unless otherwise mutually agreed in writing by you and Oracle.</x:t>
  </x:si>
  <x:si>
    <x:t xml:space="preserve"> Segmentation</x:t>
  </x:si>
  <x:si>
    <x:t xml:space="preserve">Offer and is intended for information purposes only which is separate from, and not related with, any Oracle product or services offer. </x:t>
  </x:si>
</x:sst>
</file>

<file path=xl/styles.xml><?xml version="1.0" encoding="utf-8"?>
<x:styleSheet xmlns:x="http://schemas.openxmlformats.org/spreadsheetml/2006/main">
  <x:numFmts count="3">
    <x:numFmt numFmtId="164" formatCode="_-[$$-409]* #,##0.00_ ;_-[$$-409]* \-#,##0.00\ ;_-[$$-409]* &quot;-&quot;??_ ;_-@_ "/>
    <x:numFmt numFmtId="200" formatCode="#,##0.00"/>
    <x:numFmt numFmtId="201" formatCode="$#,##0.0000"/>
  </x:numFmts>
  <x:fonts count="25">
    <x:font>
      <x:sz val="11"/>
      <x:color theme="1"/>
      <x:name val="Aptos Narrow"/>
    </x:font>
    <x:font>
      <x:b/>
      <x:sz val="11"/>
      <x:color theme="0"/>
      <x:name val="Aptos Narrow"/>
    </x:font>
    <x:font>
      <x:b/>
      <x:sz val="10"/>
      <x:color theme="1"/>
      <x:name val="Aptos"/>
    </x:font>
    <x:font>
      <x:b/>
      <x:sz val="8"/>
      <x:color theme="1"/>
      <x:name val="Aptos"/>
    </x:font>
    <x:font>
      <x:sz val="9"/>
      <x:color theme="1"/>
      <x:name val="Aptos"/>
    </x:font>
    <x:font>
      <x:sz val="12"/>
      <x:color theme="1"/>
      <x:name val="Arial"/>
    </x:font>
    <x:font>
      <x:b/>
      <x:sz val="11"/>
      <x:color rgb="FF002060"/>
      <x:name val="Aptos"/>
    </x:font>
    <x:font>
      <x:b/>
      <x:sz val="10"/>
      <x:color theme="1"/>
      <x:name val="Aptos"/>
    </x:font>
    <x:font>
      <x:b/>
      <x:i/>
      <x:sz val="8"/>
      <x:color theme="1"/>
      <x:name val="Aptos"/>
    </x:font>
    <x:font>
      <x:sz val="9"/>
      <x:color theme="1"/>
      <x:name val="Aptos"/>
    </x:font>
    <x:font>
      <x:b/>
      <x:sz val="8"/>
      <x:color theme="0"/>
      <x:name val="Aptos Narrow"/>
    </x:font>
    <x:font>
      <x:b/>
      <x:i/>
      <x:sz val="8"/>
      <x:color theme="0"/>
      <x:name val="Aptos Narrow"/>
    </x:font>
    <x:font>
      <x:b/>
      <x:sz val="11"/>
      <x:color theme="1"/>
      <x:name val="Aptos Narrow"/>
    </x:font>
    <x:font>
      <x:b/>
      <x:sz val="11"/>
      <x:color theme="1"/>
      <x:name val="Arial"/>
    </x:font>
    <x:font>
      <x:sz val="11"/>
      <x:color theme="1"/>
      <x:name val="Arial"/>
    </x:font>
    <x:font>
      <x:b/>
      <x:sz val="10"/>
      <x:color rgb="FFFFFFFF"/>
      <x:name val="Aptos Narrow"/>
    </x:font>
    <x:font>
      <x:b/>
      <x:sz val="9"/>
      <x:color rgb="FF1F1F1F"/>
      <x:name val="Aptos"/>
    </x:font>
    <x:font>
      <x:sz val="9"/>
      <x:color rgb="FF1F1F1F"/>
      <x:name val="Aptos"/>
    </x:font>
    <x:font>
      <x:b/>
      <x:sz val="10"/>
      <x:color rgb="FF1F1F1F"/>
      <x:name val="Aptos"/>
    </x:font>
    <x:font>
      <x:b/>
      <x:sz val="10"/>
      <x:color rgb="FFFFFFFF"/>
      <x:name val="Aptos"/>
    </x:font>
    <x:font>
      <x:b/>
      <x:sz val="18"/>
      <x:color rgb="FF002060"/>
      <x:name val="Aptos"/>
    </x:font>
    <x:font>
      <x:b/>
      <x:sz val="13"/>
      <x:color rgb="FF1F1F1F"/>
      <x:name val="Aptos"/>
    </x:font>
    <x:font>
      <x:sz val="11"/>
      <x:color rgb="FF1F1F1F"/>
      <x:name val="Aptos"/>
    </x:font>
    <x:font>
      <x:b/>
      <x:sz val="16"/>
      <x:color rgb="FFFFFFFF"/>
      <x:name val="Aptos"/>
    </x:font>
    <x:font>
      <x:i/>
      <x:sz val="10"/>
      <x:color rgb="FF1F1F1F"/>
      <x:name val="Aptos"/>
    </x:font>
  </x:fonts>
  <x:fills count="12">
    <x:fill>
      <x:patternFill patternType="none"/>
    </x:fill>
    <x:fill>
      <x:patternFill patternType="gray125"/>
    </x:fill>
    <x:fill>
      <x:patternFill patternType="solid">
        <x:fgColor rgb="FF002060"/>
      </x:patternFill>
    </x:fill>
    <x:fill>
      <x:patternFill patternType="solid">
        <x:fgColor theme="5" tint="0.79998"/>
      </x:patternFill>
    </x:fill>
    <x:fill>
      <x:patternFill patternType="solid">
        <x:fgColor theme="0" tint="-0.04999"/>
      </x:patternFill>
    </x:fill>
    <x:fill>
      <x:patternFill patternType="solid">
        <x:fgColor theme="4" tint="-0.24998"/>
      </x:patternFill>
    </x:fill>
    <x:fill>
      <x:patternFill patternType="solid">
        <x:fgColor rgb="FFDFECF9"/>
      </x:patternFill>
    </x:fill>
    <x:fill>
      <x:patternFill patternType="solid">
        <x:fgColor rgb="FF0B556B"/>
      </x:patternFill>
    </x:fill>
    <x:fill>
      <x:patternFill patternType="solid">
        <x:fgColor rgb="FFF2F2F2"/>
      </x:patternFill>
    </x:fill>
    <x:fill>
      <x:patternFill patternType="solid">
        <x:fgColor rgb="FFDFECF9"/>
      </x:patternFill>
    </x:fill>
    <x:fill>
      <x:patternFill patternType="solid">
        <x:fgColor rgb="FFFCE4D6"/>
      </x:patternFill>
    </x:fill>
    <x:fill>
      <x:patternFill patternType="solid">
        <x:fgColor rgb="FF002060"/>
      </x:patternFill>
    </x:fill>
  </x:fills>
  <x:borders count="10">
    <x:border/>
    <x:border>
      <x:left style="thin">
        <x:color theme="0"/>
      </x:left>
      <x:right style="thin">
        <x:color theme="0"/>
      </x:right>
      <x:top style="thin">
        <x:color theme="0"/>
      </x:top>
      <x:bottom style="thin">
        <x:color theme="0"/>
      </x:bottom>
    </x:border>
    <x:border>
      <x:left style="thin">
        <x:color theme="0" tint="-0.04999"/>
      </x:left>
      <x:right style="thin">
        <x:color theme="0" tint="-0.04999"/>
      </x:right>
      <x:top style="thin">
        <x:color theme="0" tint="-0.04999"/>
      </x:top>
      <x:bottom style="thin">
        <x:color theme="0" tint="-0.04999"/>
      </x:bottom>
    </x:border>
    <x:border>
      <x:left style="thin">
        <x:color theme="0"/>
      </x:left>
    </x:border>
    <x:border>
      <x:left style="thin">
        <x:color theme="0" tint="-0.04999"/>
      </x:left>
      <x:right style="thin">
        <x:color theme="0" tint="-0.04999"/>
      </x:right>
      <x:top style="thin">
        <x:color theme="0" tint="-0.04999"/>
      </x:top>
    </x:border>
    <x:border>
      <x:bottom style="thin">
        <x:color theme="0" tint="-0.04999"/>
      </x:bottom>
    </x:border>
    <x:border>
      <x:left style="thin">
        <x:color theme="0" tint="-0.04999"/>
      </x:left>
      <x:right style="thin">
        <x:color theme="0" tint="-0.04999"/>
      </x:right>
      <x:bottom style="thin">
        <x:color theme="0" tint="-0.04999"/>
      </x:bottom>
    </x:border>
    <x:border>
      <x:left style="thin">
        <x:color theme="0" tint="-0.04999"/>
      </x:left>
      <x:bottom style="thin">
        <x:color theme="0" tint="-0.04999"/>
      </x:bottom>
    </x:border>
    <x:border>
      <x:left style="thin">
        <x:color rgb="FFD9E2F3"/>
      </x:left>
      <x:right style="thin">
        <x:color rgb="FFD9E2F3"/>
      </x:right>
      <x:top style="thin">
        <x:color rgb="FFD9E2F3"/>
      </x:top>
      <x:bottom style="thin">
        <x:color rgb="FFD9E2F3"/>
      </x:bottom>
    </x:border>
    <x:border>
      <x:left style="thin">
        <x:color rgb="FFB7C9D6"/>
      </x:left>
      <x:right style="thin">
        <x:color rgb="FFB7C9D6"/>
      </x:right>
      <x:top style="thin">
        <x:color rgb="FFB7C9D6"/>
      </x:top>
      <x:bottom style="thin">
        <x:color rgb="FFB7C9D6"/>
      </x:bottom>
    </x:border>
  </x:borders>
  <x:cellStyleXfs count="1">
    <x:xf numFmtId="0" fontId="0" fillId="0" borderId="0"/>
  </x:cellStyleXfs>
  <x:cellXfs count="115">
    <x:xf numFmtId="0" fontId="0" fillId="0" borderId="0" xfId="0"/>
    <x:xf numFmtId="0" fontId="1" fillId="5" borderId="2" xfId="0" applyFont="1" applyFill="1" applyBorder="1" applyAlignment="1">
      <x:alignment horizontal="center" vertical="center"/>
    </x:xf>
    <x:xf numFmtId="0" fontId="5" fillId="0" borderId="0" xfId="0" applyFont="1"/>
    <x:xf numFmtId="0" fontId="5" fillId="2" borderId="0" xfId="0" applyFont="1" applyFill="1"/>
    <x:xf numFmtId="0" fontId="6" fillId="0" borderId="0" xfId="0" applyFont="1" applyAlignment="1">
      <x:alignment horizontal="left"/>
    </x:xf>
    <x:xf numFmtId="0" fontId="7" fillId="0" borderId="0" xfId="0" applyFont="1" applyAlignment="1">
      <x:alignment horizontal="left"/>
    </x:xf>
    <x:xf numFmtId="0" fontId="7" fillId="3" borderId="2" xfId="0" applyFont="1" applyFill="1" applyBorder="1" applyAlignment="1">
      <x:alignment vertical="center"/>
    </x:xf>
    <x:xf numFmtId="0" fontId="9" fillId="6" borderId="1" xfId="0" applyFont="1" applyFill="1" applyBorder="1" applyAlignment="1">
      <x:alignment horizontal="center" vertical="center" wrapText="1"/>
    </x:xf>
    <x:xf numFmtId="0" fontId="4" fillId="6" borderId="1" xfId="0" applyFont="1" applyFill="1" applyBorder="1" applyAlignment="1">
      <x:alignment horizontal="center" vertical="center" wrapText="1"/>
    </x:xf>
    <x:xf numFmtId="164" fontId="7" fillId="3" borderId="2" xfId="0" applyNumberFormat="1" applyFont="1" applyFill="1" applyBorder="1" applyAlignment="1">
      <x:alignment vertical="center"/>
    </x:xf>
    <x:xf numFmtId="164" fontId="9" fillId="6" borderId="1" xfId="0" applyNumberFormat="1" applyFont="1" applyFill="1" applyBorder="1" applyAlignment="1">
      <x:alignment horizontal="center" vertical="center" wrapText="1"/>
    </x:xf>
    <x:xf numFmtId="0" fontId="1" fillId="5" borderId="4" xfId="0" applyFont="1" applyFill="1" applyBorder="1" applyAlignment="1">
      <x:alignment horizontal="center" vertical="center"/>
    </x:xf>
    <x:xf numFmtId="0" fontId="4" fillId="6" borderId="1" xfId="0" applyFont="1" applyFill="1" applyBorder="1" applyAlignment="1">
      <x:alignment horizontal="left" vertical="center" wrapText="1"/>
    </x:xf>
    <x:xf numFmtId="0" fontId="1" fillId="5" borderId="4" xfId="0" applyFont="1" applyFill="1" applyBorder="1" applyAlignment="1">
      <x:alignment horizontal="center" vertical="center" wrapText="1"/>
    </x:xf>
    <x:xf numFmtId="0" fontId="7" fillId="3" borderId="6" xfId="0" applyFont="1" applyFill="1" applyBorder="1" applyAlignment="1">
      <x:alignment horizontal="center" vertical="center"/>
    </x:xf>
    <x:xf numFmtId="0" fontId="2" fillId="3" borderId="5" xfId="0" applyFont="1" applyFill="1" applyBorder="1" applyAlignment="1">
      <x:alignment horizontal="right" vertical="center"/>
    </x:xf>
    <x:xf numFmtId="0" fontId="7" fillId="3" borderId="6" xfId="0" applyFont="1" applyFill="1" applyBorder="1" applyAlignment="1">
      <x:alignment vertical="center"/>
    </x:xf>
    <x:xf numFmtId="164" fontId="4" fillId="6" borderId="1" xfId="0" applyNumberFormat="1" applyFont="1" applyFill="1" applyBorder="1" applyAlignment="1">
      <x:alignment horizontal="center" vertical="center" wrapText="1"/>
    </x:xf>
    <x:xf numFmtId="1" fontId="4" fillId="6" borderId="1" xfId="0" applyNumberFormat="1" applyFont="1" applyFill="1" applyBorder="1" applyAlignment="1">
      <x:alignment horizontal="center" vertical="center" wrapText="1"/>
    </x:xf>
    <x:xf numFmtId="0" fontId="3" fillId="4" borderId="1" xfId="0" applyFont="1" applyFill="1" applyBorder="1" applyAlignment="1">
      <x:alignment horizontal="center" vertical="center" wrapText="1"/>
    </x:xf>
    <x:xf numFmtId="0" fontId="13" fillId="0" borderId="0" xfId="0" applyFont="1" applyAlignment="1">
      <x:alignment vertical="center"/>
    </x:xf>
    <x:xf numFmtId="0" fontId="12" fillId="0" borderId="0" xfId="0" applyFont="1"/>
    <x:xf numFmtId="0" fontId="2" fillId="3" borderId="7" xfId="0" applyFont="1" applyFill="1" applyBorder="1" applyAlignment="1">
      <x:alignment horizontal="right" vertical="center"/>
    </x:xf>
    <x:xf numFmtId="0" fontId="2" fillId="3" borderId="5" xfId="0" applyFont="1" applyFill="1" applyBorder="1" applyAlignment="1">
      <x:alignment horizontal="right" vertical="center"/>
    </x:xf>
    <x:xf numFmtId="0" fontId="3" fillId="4" borderId="1" xfId="0" applyFont="1" applyFill="1" applyBorder="1" applyAlignment="1">
      <x:alignment horizontal="center" vertical="center" wrapText="1"/>
    </x:xf>
    <x:xf numFmtId="0" fontId="0" fillId="0" borderId="0" xfId="0" applyAlignment="1">
      <x:alignment horizontal="left" wrapText="1"/>
    </x:xf>
    <x:xf numFmtId="0" fontId="8" fillId="6" borderId="3" xfId="0" applyFont="1" applyFill="1" applyBorder="1" applyAlignment="1">
      <x:alignment horizontal="center" vertical="center" wrapText="1"/>
    </x:xf>
    <x:xf numFmtId="0" fontId="8" fillId="6" borderId="0" xfId="0" applyFont="1" applyFill="1" applyAlignment="1">
      <x:alignment horizontal="center" vertical="center" wrapText="1"/>
    </x:xf>
    <x:xf numFmtId="0" fontId="14" fillId="0" borderId="0" xfId="0" applyFont="1" applyAlignment="1">
      <x:alignment horizontal="left" vertical="top" wrapText="1"/>
    </x:xf>
    <x:xf numFmtId="0" fontId="0" fillId="0" borderId="0" xfId="0" applyAlignment="1">
      <x:alignment vertical="top" wrapText="1"/>
    </x:xf>
    <x:xf numFmtId="0" fontId="1" fillId="7" borderId="4" xfId="0" applyNumberFormat="1" applyFont="1" applyFill="1" applyBorder="1" applyAlignment="1">
      <x:alignment horizontal="center" vertical="center"/>
    </x:xf>
    <x:xf numFmtId="0" fontId="1" fillId="7" borderId="4" xfId="0" applyNumberFormat="1" applyFont="1" applyFill="1" applyBorder="1" applyAlignment="1">
      <x:alignment horizontal="center" vertical="center" wrapText="1"/>
    </x:xf>
    <x:xf numFmtId="0" fontId="1" fillId="7" borderId="2" xfId="0" applyNumberFormat="1" applyFont="1" applyFill="1" applyBorder="1" applyAlignment="1">
      <x:alignment horizontal="center" vertical="center"/>
    </x:xf>
    <x:xf numFmtId="0" fontId="15" fillId="7" borderId="4" xfId="0" applyNumberFormat="1" applyFont="1" applyFill="1" applyBorder="1" applyAlignment="1">
      <x:alignment horizontal="center" vertical="center"/>
    </x:xf>
    <x:xf numFmtId="0" fontId="15" fillId="7" borderId="4" xfId="0" applyNumberFormat="1" applyFont="1" applyFill="1" applyBorder="1" applyAlignment="1">
      <x:alignment horizontal="center" vertical="center" wrapText="1"/>
    </x:xf>
    <x:xf numFmtId="0" fontId="15" fillId="7" borderId="2" xfId="0" applyNumberFormat="1" applyFont="1" applyFill="1" applyBorder="1" applyAlignment="1">
      <x:alignment horizontal="center" vertical="center"/>
    </x:xf>
    <x:xf numFmtId="0" fontId="15" fillId="7" borderId="8" xfId="0" applyNumberFormat="1" applyFont="1" applyFill="1" applyBorder="1" applyAlignment="1">
      <x:alignment horizontal="center" vertical="center"/>
    </x:xf>
    <x:xf numFmtId="0" fontId="15" fillId="7" borderId="8" xfId="0" applyNumberFormat="1" applyFont="1" applyFill="1" applyBorder="1" applyAlignment="1">
      <x:alignment horizontal="center" vertical="center" wrapText="1"/>
    </x:xf>
    <x:xf numFmtId="0" fontId="3" fillId="8" borderId="1" xfId="0" applyNumberFormat="1" applyFont="1" applyFill="1" applyBorder="1" applyAlignment="1">
      <x:alignment horizontal="center" vertical="center" wrapText="1"/>
    </x:xf>
    <x:xf numFmtId="0" fontId="16" fillId="8" borderId="1" xfId="0" applyNumberFormat="1" applyFont="1" applyFill="1" applyBorder="1" applyAlignment="1">
      <x:alignment horizontal="center" vertical="center" wrapText="1"/>
    </x:xf>
    <x:xf numFmtId="0" fontId="16" fillId="8" borderId="9" xfId="0" applyNumberFormat="1" applyFont="1" applyFill="1" applyBorder="1" applyAlignment="1">
      <x:alignment horizontal="center" vertical="center" wrapText="1"/>
    </x:xf>
    <x:xf numFmtId="0" fontId="4" fillId="9" borderId="1" xfId="0" applyNumberFormat="1" applyFont="1" applyFill="1" applyBorder="1" applyAlignment="1">
      <x:alignment horizontal="left" vertical="center" wrapText="1"/>
    </x:xf>
    <x:xf numFmtId="0" fontId="4" fillId="9" borderId="1" xfId="0" applyNumberFormat="1" applyFont="1" applyFill="1" applyBorder="1" applyAlignment="1">
      <x:alignment horizontal="center" vertical="center" wrapText="1"/>
    </x:xf>
    <x:xf numFmtId="1" fontId="4" fillId="9" borderId="1" xfId="0" applyNumberFormat="1" applyFont="1" applyFill="1" applyBorder="1" applyAlignment="1">
      <x:alignment horizontal="center" vertical="center" wrapText="1"/>
    </x:xf>
    <x:xf numFmtId="164" fontId="4" fillId="9" borderId="1" xfId="0" applyNumberFormat="1" applyFont="1" applyFill="1" applyBorder="1" applyAlignment="1">
      <x:alignment horizontal="center" vertical="center" wrapText="1"/>
    </x:xf>
    <x:xf numFmtId="0" fontId="17" fillId="9" borderId="1" xfId="0" applyNumberFormat="1" applyFont="1" applyFill="1" applyBorder="1" applyAlignment="1">
      <x:alignment horizontal="left" vertical="center" wrapText="1"/>
    </x:xf>
    <x:xf numFmtId="0" fontId="17" fillId="9" borderId="1" xfId="0" applyNumberFormat="1" applyFont="1" applyFill="1" applyBorder="1" applyAlignment="1">
      <x:alignment horizontal="center" vertical="center" wrapText="1"/>
    </x:xf>
    <x:xf numFmtId="1" fontId="17" fillId="9" borderId="1" xfId="0" applyNumberFormat="1" applyFont="1" applyFill="1" applyBorder="1" applyAlignment="1">
      <x:alignment horizontal="center" vertical="center" wrapText="1"/>
    </x:xf>
    <x:xf numFmtId="164" fontId="17" fillId="9" borderId="1" xfId="0" applyNumberFormat="1" applyFont="1" applyFill="1" applyBorder="1" applyAlignment="1">
      <x:alignment horizontal="center" vertical="center" wrapText="1"/>
    </x:xf>
    <x:xf numFmtId="0" fontId="17" fillId="9" borderId="9" xfId="0" applyNumberFormat="1" applyFont="1" applyFill="1" applyBorder="1" applyAlignment="1">
      <x:alignment horizontal="left" vertical="center" wrapText="1"/>
    </x:xf>
    <x:xf numFmtId="0" fontId="17" fillId="9" borderId="9" xfId="0" applyNumberFormat="1" applyFont="1" applyFill="1" applyBorder="1" applyAlignment="1">
      <x:alignment horizontal="center" vertical="center" wrapText="1"/>
    </x:xf>
    <x:xf numFmtId="1" fontId="17" fillId="9" borderId="9" xfId="0" applyNumberFormat="1" applyFont="1" applyFill="1" applyBorder="1" applyAlignment="1">
      <x:alignment horizontal="center" vertical="center" wrapText="1"/>
    </x:xf>
    <x:xf numFmtId="164" fontId="17" fillId="9" borderId="9" xfId="0" applyNumberFormat="1" applyFont="1" applyFill="1" applyBorder="1" applyAlignment="1">
      <x:alignment horizontal="center" vertical="center" wrapText="1"/>
    </x:xf>
    <x:xf numFmtId="164" fontId="17" fillId="9" borderId="9" xfId="0" applyNumberFormat="1" applyFont="1" applyFill="1" applyBorder="1" applyAlignment="1">
      <x:alignment horizontal="right" vertical="center" wrapText="1"/>
    </x:xf>
    <x:xf numFmtId="164" fontId="4" fillId="6" borderId="1" xfId="0" applyNumberFormat="1" applyFont="1" applyFill="1" applyBorder="1" applyAlignment="1">
      <x:alignment horizontal="right" vertical="center" wrapText="1"/>
    </x:xf>
    <x:xf numFmtId="200" fontId="17" fillId="9" borderId="9" xfId="0" applyNumberFormat="1" applyFont="1" applyFill="1" applyBorder="1" applyAlignment="1">
      <x:alignment horizontal="center" vertical="center" wrapText="1"/>
    </x:xf>
    <x:xf numFmtId="0" fontId="3" fillId="10" borderId="1" xfId="0" applyNumberFormat="1" applyFont="1" applyFill="1" applyBorder="1" applyAlignment="1">
      <x:alignment horizontal="center" vertical="center" wrapText="1"/>
    </x:xf>
    <x:xf numFmtId="0" fontId="4" fillId="10" borderId="1" xfId="0" applyNumberFormat="1" applyFont="1" applyFill="1" applyBorder="1" applyAlignment="1">
      <x:alignment horizontal="left" vertical="center" wrapText="1"/>
    </x:xf>
    <x:xf numFmtId="0" fontId="4" fillId="10" borderId="1" xfId="0" applyNumberFormat="1" applyFont="1" applyFill="1" applyBorder="1" applyAlignment="1">
      <x:alignment horizontal="center" vertical="center" wrapText="1"/>
    </x:xf>
    <x:xf numFmtId="1" fontId="4" fillId="10" borderId="1" xfId="0" applyNumberFormat="1" applyFont="1" applyFill="1" applyBorder="1" applyAlignment="1">
      <x:alignment horizontal="center" vertical="center" wrapText="1"/>
    </x:xf>
    <x:xf numFmtId="164" fontId="4" fillId="10" borderId="1" xfId="0" applyNumberFormat="1" applyFont="1" applyFill="1" applyBorder="1" applyAlignment="1">
      <x:alignment horizontal="right" vertical="center" wrapText="1"/>
    </x:xf>
    <x:xf numFmtId="0" fontId="18" fillId="10" borderId="1" xfId="0" applyNumberFormat="1" applyFont="1" applyFill="1" applyBorder="1" applyAlignment="1">
      <x:alignment horizontal="center" vertical="center" wrapText="1"/>
    </x:xf>
    <x:xf numFmtId="0" fontId="18" fillId="10" borderId="1" xfId="0" applyNumberFormat="1" applyFont="1" applyFill="1" applyBorder="1" applyAlignment="1">
      <x:alignment horizontal="left" vertical="center" wrapText="1"/>
    </x:xf>
    <x:xf numFmtId="1" fontId="18" fillId="10" borderId="1" xfId="0" applyNumberFormat="1" applyFont="1" applyFill="1" applyBorder="1" applyAlignment="1">
      <x:alignment horizontal="center" vertical="center" wrapText="1"/>
    </x:xf>
    <x:xf numFmtId="164" fontId="18" fillId="10" borderId="1" xfId="0" applyNumberFormat="1" applyFont="1" applyFill="1" applyBorder="1" applyAlignment="1">
      <x:alignment horizontal="right" vertical="center" wrapText="1"/>
    </x:xf>
    <x:xf numFmtId="0" fontId="18" fillId="10" borderId="9" xfId="0" applyNumberFormat="1" applyFont="1" applyFill="1" applyBorder="1" applyAlignment="1">
      <x:alignment horizontal="center" vertical="center" wrapText="1"/>
    </x:xf>
    <x:xf numFmtId="0" fontId="18" fillId="10" borderId="9" xfId="0" applyNumberFormat="1" applyFont="1" applyFill="1" applyBorder="1" applyAlignment="1">
      <x:alignment horizontal="left" vertical="center" wrapText="1"/>
    </x:xf>
    <x:xf numFmtId="1" fontId="18" fillId="10" borderId="9" xfId="0" applyNumberFormat="1" applyFont="1" applyFill="1" applyBorder="1" applyAlignment="1">
      <x:alignment horizontal="center" vertical="center" wrapText="1"/>
    </x:xf>
    <x:xf numFmtId="164" fontId="18" fillId="10" borderId="9" xfId="0" applyNumberFormat="1" applyFont="1" applyFill="1" applyBorder="1" applyAlignment="1">
      <x:alignment horizontal="right" vertical="center" wrapText="1"/>
    </x:xf>
    <x:xf numFmtId="0" fontId="16" fillId="4" borderId="1" xfId="0" applyNumberFormat="1" applyFont="1" applyFill="1" applyBorder="1" applyAlignment="1">
      <x:alignment horizontal="center" vertical="center" wrapText="1"/>
    </x:xf>
    <x:xf numFmtId="0" fontId="17" fillId="6" borderId="1" xfId="0" applyNumberFormat="1" applyFont="1" applyFill="1" applyBorder="1" applyAlignment="1">
      <x:alignment horizontal="left" vertical="center" wrapText="1"/>
    </x:xf>
    <x:xf numFmtId="0" fontId="17" fillId="6" borderId="1" xfId="0" applyNumberFormat="1" applyFont="1" applyFill="1" applyBorder="1" applyAlignment="1">
      <x:alignment horizontal="center" vertical="center" wrapText="1"/>
    </x:xf>
    <x:xf numFmtId="1" fontId="17" fillId="6" borderId="1" xfId="0" applyNumberFormat="1" applyFont="1" applyFill="1" applyBorder="1" applyAlignment="1">
      <x:alignment horizontal="center" vertical="center" wrapText="1"/>
    </x:xf>
    <x:xf numFmtId="164" fontId="17" fillId="6" borderId="1" xfId="0" applyNumberFormat="1" applyFont="1" applyFill="1" applyBorder="1" applyAlignment="1">
      <x:alignment horizontal="center" vertical="center" wrapText="1"/>
    </x:xf>
    <x:xf numFmtId="0" fontId="16" fillId="11" borderId="1" xfId="0" applyNumberFormat="1" applyFont="1" applyFill="1" applyBorder="1" applyAlignment="1">
      <x:alignment horizontal="center" vertical="center" wrapText="1"/>
    </x:xf>
    <x:xf numFmtId="0" fontId="17" fillId="11" borderId="1" xfId="0" applyNumberFormat="1" applyFont="1" applyFill="1" applyBorder="1" applyAlignment="1">
      <x:alignment horizontal="left" vertical="center" wrapText="1"/>
    </x:xf>
    <x:xf numFmtId="0" fontId="17" fillId="11" borderId="1" xfId="0" applyNumberFormat="1" applyFont="1" applyFill="1" applyBorder="1" applyAlignment="1">
      <x:alignment horizontal="center" vertical="center" wrapText="1"/>
    </x:xf>
    <x:xf numFmtId="1" fontId="17" fillId="11" borderId="1" xfId="0" applyNumberFormat="1" applyFont="1" applyFill="1" applyBorder="1" applyAlignment="1">
      <x:alignment horizontal="center" vertical="center" wrapText="1"/>
    </x:xf>
    <x:xf numFmtId="164" fontId="17" fillId="11" borderId="1" xfId="0" applyNumberFormat="1" applyFont="1" applyFill="1" applyBorder="1" applyAlignment="1">
      <x:alignment horizontal="center" vertical="center" wrapText="1"/>
    </x:xf>
    <x:xf numFmtId="0" fontId="19" fillId="11" borderId="1" xfId="0" applyNumberFormat="1" applyFont="1" applyFill="1" applyBorder="1" applyAlignment="1">
      <x:alignment horizontal="center" vertical="center" wrapText="1"/>
    </x:xf>
    <x:xf numFmtId="0" fontId="19" fillId="11" borderId="1" xfId="0" applyNumberFormat="1" applyFont="1" applyFill="1" applyBorder="1" applyAlignment="1">
      <x:alignment horizontal="left" vertical="center" wrapText="1"/>
    </x:xf>
    <x:xf numFmtId="1" fontId="19" fillId="11" borderId="1" xfId="0" applyNumberFormat="1" applyFont="1" applyFill="1" applyBorder="1" applyAlignment="1">
      <x:alignment horizontal="center" vertical="center" wrapText="1"/>
    </x:xf>
    <x:xf numFmtId="164" fontId="19" fillId="11" borderId="1" xfId="0" applyNumberFormat="1" applyFont="1" applyFill="1" applyBorder="1" applyAlignment="1">
      <x:alignment horizontal="center" vertical="center" wrapText="1"/>
    </x:xf>
    <x:xf numFmtId="0" fontId="20" fillId="0" borderId="0" xfId="0" applyNumberFormat="1" applyFont="1" applyFill="1" applyBorder="1" applyAlignment="1">
      <x:alignment vertical="center"/>
    </x:xf>
    <x:xf numFmtId="0" fontId="20" fillId="0" borderId="0" xfId="0" applyNumberFormat="1" applyFont="1" applyFill="1" applyBorder="1"/>
    <x:xf numFmtId="0" fontId="21" fillId="0" borderId="0" xfId="0" applyNumberFormat="1" applyFont="1" applyFill="1" applyBorder="1" applyAlignment="1">
      <x:alignment horizontal="left" vertical="top" wrapText="1"/>
    </x:xf>
    <x:xf numFmtId="0" fontId="21" fillId="0" borderId="0" xfId="0" applyNumberFormat="1" applyFont="1" applyFill="1" applyBorder="1" applyAlignment="1">
      <x:alignment vertical="top" wrapText="1"/>
    </x:xf>
    <x:xf numFmtId="0" fontId="22" fillId="0" borderId="0" xfId="0" applyNumberFormat="1" applyFont="1" applyFill="1" applyBorder="1" applyAlignment="1">
      <x:alignment horizontal="left" vertical="top" wrapText="1"/>
    </x:xf>
    <x:xf numFmtId="0" fontId="22" fillId="0" borderId="0" xfId="0" applyNumberFormat="1" applyFont="1" applyFill="1" applyBorder="1" applyAlignment="1">
      <x:alignment vertical="top" wrapText="1"/>
    </x:xf>
    <x:xf numFmtId="0" fontId="22" fillId="0" borderId="0" xfId="0" applyNumberFormat="1" applyFont="1" applyFill="1" applyBorder="1"/>
    <x:xf numFmtId="0" fontId="22" fillId="0" borderId="0" xfId="0" applyNumberFormat="1" applyFont="1" applyFill="1" applyBorder="1" applyAlignment="1">
      <x:alignment wrapText="1"/>
    </x:xf>
    <x:xf numFmtId="0" fontId="22" fillId="0" borderId="0" xfId="0" applyNumberFormat="1" applyFont="1" applyFill="1" applyBorder="1" applyAlignment="1">
      <x:alignment horizontal="left" vertical="center" wrapText="1"/>
    </x:xf>
    <x:xf numFmtId="0" fontId="22" fillId="0" borderId="0" xfId="0" applyNumberFormat="1" applyFont="1" applyFill="1" applyBorder="1" applyAlignment="1">
      <x:alignment vertical="center" wrapText="1"/>
    </x:xf>
    <x:xf numFmtId="0" fontId="0" fillId="11" borderId="0" xfId="0" applyNumberFormat="1" applyFont="1" applyFill="1" applyBorder="1"/>
    <x:xf numFmtId="0" fontId="23" fillId="11" borderId="0" xfId="0" applyNumberFormat="1" applyFont="1" applyFill="1" applyBorder="1"/>
    <x:xf numFmtId="0" fontId="23" fillId="11" borderId="0" xfId="0" applyNumberFormat="1" applyFont="1" applyFill="1" applyBorder="1" applyAlignment="1">
      <x:alignment vertical="center"/>
    </x:xf>
    <x:xf numFmtId="0" fontId="0" fillId="9" borderId="0" xfId="0" applyNumberFormat="1" applyFont="1" applyFill="1" applyBorder="1"/>
    <x:xf numFmtId="0" fontId="24" fillId="9" borderId="0" xfId="0" applyNumberFormat="1" applyFont="1" applyFill="1" applyBorder="1"/>
    <x:xf numFmtId="0" fontId="24" fillId="9" borderId="0" xfId="0" applyNumberFormat="1" applyFont="1" applyFill="1" applyBorder="1" applyAlignment="1">
      <x:alignment wrapText="1"/>
    </x:xf>
    <x:xf numFmtId="0" fontId="0" fillId="7" borderId="0" xfId="0" applyNumberFormat="1" applyFont="1" applyFill="1" applyBorder="1"/>
    <x:xf numFmtId="0" fontId="15" fillId="7" borderId="0" xfId="0" applyNumberFormat="1" applyFont="1" applyFill="1" applyBorder="1"/>
    <x:xf numFmtId="0" fontId="15" fillId="7" borderId="9" xfId="0" applyNumberFormat="1" applyFont="1" applyFill="1" applyBorder="1"/>
    <x:xf numFmtId="0" fontId="15" fillId="7" borderId="9" xfId="0" applyNumberFormat="1" applyFont="1" applyFill="1" applyBorder="1" applyAlignment="1">
      <x:alignment wrapText="1"/>
    </x:xf>
    <x:xf numFmtId="0" fontId="15" fillId="7" borderId="9" xfId="0" applyNumberFormat="1" applyFont="1" applyFill="1" applyBorder="1" applyAlignment="1">
      <x:alignment horizontal="center" wrapText="1"/>
    </x:xf>
    <x:xf numFmtId="0" fontId="15" fillId="7" borderId="9" xfId="0" applyNumberFormat="1" applyFont="1" applyFill="1" applyBorder="1" applyAlignment="1">
      <x:alignment horizontal="center" vertical="center" wrapText="1"/>
    </x:xf>
    <x:xf numFmtId="0" fontId="17" fillId="9" borderId="0" xfId="0" applyNumberFormat="1" applyFont="1" applyFill="1" applyBorder="1"/>
    <x:xf numFmtId="0" fontId="17" fillId="9" borderId="9" xfId="0" applyNumberFormat="1" applyFont="1" applyFill="1" applyBorder="1"/>
    <x:xf numFmtId="0" fontId="17" fillId="9" borderId="9" xfId="0" applyNumberFormat="1" applyFont="1" applyFill="1" applyBorder="1" applyAlignment="1">
      <x:alignment wrapText="1"/>
    </x:xf>
    <x:xf numFmtId="0" fontId="17" fillId="9" borderId="9" xfId="0" applyNumberFormat="1" applyFont="1" applyFill="1" applyBorder="1" applyAlignment="1">
      <x:alignment vertical="center" wrapText="1"/>
    </x:xf>
    <x:xf numFmtId="0" fontId="0" fillId="8" borderId="0" xfId="0" applyNumberFormat="1" applyFont="1" applyFill="1" applyBorder="1"/>
    <x:xf numFmtId="0" fontId="17" fillId="8" borderId="0" xfId="0" applyNumberFormat="1" applyFont="1" applyFill="1" applyBorder="1"/>
    <x:xf numFmtId="0" fontId="17" fillId="8" borderId="9" xfId="0" applyNumberFormat="1" applyFont="1" applyFill="1" applyBorder="1"/>
    <x:xf numFmtId="0" fontId="17" fillId="8" borderId="9" xfId="0" applyNumberFormat="1" applyFont="1" applyFill="1" applyBorder="1" applyAlignment="1">
      <x:alignment horizontal="right"/>
    </x:xf>
    <x:xf numFmtId="201" fontId="17" fillId="9" borderId="9" xfId="0" applyNumberFormat="1" applyFont="1" applyFill="1" applyBorder="1" applyAlignment="1">
      <x:alignment vertical="center" wrapText="1"/>
    </x:xf>
    <x:xf numFmtId="200" fontId="17" fillId="9" borderId="9" xfId="0" applyNumberFormat="1" applyFont="1" applyFill="1" applyBorder="1" applyAlignment="1">
      <x:alignment vertical="center" wrapText="1"/>
    </x:xf>
  </x:cellXfs>
  <x:cellStyles count="1">
    <x:cellStyle name="Normal" xfId="0"/>
  </x:cellStyles>
  <x:dxfs count="2">
    <x:dxf>
      <x:font>
        <x:i/>
      </x:font>
    </x:dxf>
    <x:dxf>
      <x:font>
        <x:i/>
      </x:font>
    </x:dxf>
  </x:dxfs>
</x:styleSheet>
</file>

<file path=xl/_rels/workbook.xml.rels>&#65279;<?xml version="1.0" encoding="utf-8"?><Relationships xmlns="http://schemas.openxmlformats.org/package/2006/relationships"><Relationship Type="http://schemas.openxmlformats.org/officeDocument/2006/relationships/styles" Target="/xl/styles.xml" Id="R0b20828671e9488c" /><Relationship Type="http://schemas.openxmlformats.org/officeDocument/2006/relationships/theme" Target="/xl/theme/theme1.xml" Id="R12f5faa382ae4d0f" /><Relationship Type="http://schemas.openxmlformats.org/officeDocument/2006/relationships/sheetMetadata" Target="/xl/metadata1.xml" Id="Rb22c1c7d4b14457d" /><Relationship Type="http://schemas.openxmlformats.org/officeDocument/2006/relationships/sharedStrings" Target="/xl/sharedStrings.xml" Id="Rfdcaf9b8071b4249" /><Relationship Type="http://schemas.openxmlformats.org/officeDocument/2006/relationships/worksheet" Target="/xl/worksheets/sheet1.xml" Id="R19956a9a99734fde" /><Relationship Type="http://schemas.openxmlformats.org/officeDocument/2006/relationships/worksheet" Target="/xl/worksheets/sheet2.xml" Id="Re7df80c28ecd4bc1" /><Relationship Type="http://schemas.openxmlformats.org/officeDocument/2006/relationships/worksheet" Target="/xl/worksheets/sheet3.xml" Id="Rbd297066ec354984" /><Relationship Type="http://schemas.openxmlformats.org/officeDocument/2006/relationships/worksheet" Target="/xl/worksheets/sheet4.xml" Id="Ra468ce2ae07b4dad" /></Relationships>
</file>

<file path=xl/drawings/_rels/drawing1.xml.rels>&#65279;<?xml version="1.0" encoding="utf-8"?><Relationships xmlns="http://schemas.openxmlformats.org/package/2006/relationships"><Relationship Type="http://schemas.openxmlformats.org/officeDocument/2006/relationships/image" Target="/xl/media/image.emf" Id="R83105e9449df4ded" /></Relationships>
</file>

<file path=xl/drawings/drawing1.xml><?xml version="1.0" encoding="utf-8"?>
<xdr:wsDr xmlns:xdr="http://schemas.openxmlformats.org/drawingml/2006/spreadsheetDrawing">
  <xdr:twoCellAnchor editAs="oneCell">
    <xdr:from>
      <xdr:col>0</xdr:col>
      <xdr:colOff>120650</xdr:colOff>
      <xdr:row>0</xdr:row>
      <xdr:rowOff>69860</xdr:rowOff>
    </xdr:from>
    <xdr:to>
      <xdr:col>1</xdr:col>
      <xdr:colOff>159050</xdr:colOff>
      <xdr:row>3</xdr:row>
      <xdr:rowOff>159053</xdr:rowOff>
    </xdr:to>
    <xdr:pic>
      <xdr:nvPicPr>
        <xdr:cNvPr id="1" name="/xl/media/image1.emf"/>
        <xdr:cNvPicPr>
          <a:picLocks xmlns:a="http://schemas.openxmlformats.org/drawingml/2006/main" noChangeAspect="1"/>
        </xdr:cNvPicPr>
      </xdr:nvPicPr>
      <xdr:blipFill>
        <a:blip xmlns:r="http://schemas.openxmlformats.org/officeDocument/2006/relationships" xmlns:a="http://schemas.openxmlformats.org/drawingml/2006/main" r:embed="R83105e9449df4ded"/>
        <a:stretch xmlns:a="http://schemas.openxmlformats.org/drawingml/2006/main">
          <a:fillRect/>
        </a:stretch>
      </xdr:blipFill>
      <xdr:spPr>
        <a:prstGeom xmlns:a="http://schemas.openxmlformats.org/drawingml/2006/main" prst="rect"/>
      </xdr:spPr>
    </xdr:pic>
    <xdr:clientData/>
  </xdr:twoCellAnchor>
</xdr:wsDr>
</file>

<file path=xl/drawings/drawing2.xml><?xml version="1.0" encoding="utf-8"?>
<xdr:wsDr xmlns:xdr="http://schemas.openxmlformats.org/drawingml/2006/spreadsheetDrawing">
  <xdr:twoCellAnchor editAs="oneCell">
    <xdr:from>
      <xdr:col>2</xdr:col>
      <xdr:colOff>107950</xdr:colOff>
      <xdr:row>3</xdr:row>
      <xdr:rowOff>50800</xdr:rowOff>
    </xdr:from>
    <xdr:to>
      <xdr:col>2</xdr:col>
      <xdr:colOff>381000</xdr:colOff>
      <xdr:row>3</xdr:row>
      <xdr:rowOff>97155</xdr:rowOff>
    </xdr:to>
    <xdr:sp>
      <xdr:nvSpPr>
        <xdr:cNvPr id="1" name="Yellow dash"/>
        <xdr:cNvSpPr>
          <a:spLocks xmlns:a="http://schemas.openxmlformats.org/drawingml/2006/main" noGrp="1"/>
        </xdr:cNvSpPr>
      </xdr:nvSpPr>
      <xdr:spPr>
        <a:xfrm xmlns:a="http://schemas.openxmlformats.org/drawingml/2006/main">
          <a:off x="1060450" y="603250"/>
          <a:ext cx="273050" cy="46355"/>
        </a:xfrm>
        <a:prstGeom xmlns:a="http://schemas.openxmlformats.org/drawingml/2006/main" prst="rect">
          <a:avLst/>
        </a:prstGeom>
        <a:solidFill xmlns:a="http://schemas.openxmlformats.org/drawingml/2006/main">
          <a:schemeClr val="accent2"/>
        </a:solidFill>
        <a:ln xmlns:a="http://schemas.openxmlformats.org/drawingml/2006/main">
          <a:noFill/>
        </a:ln>
      </xdr:spPr>
      <x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a:bodyPr xmlns:a="http://schemas.openxmlformats.org/drawingml/2006/main" rot="0" spcFirstLastPara="0" vert="horz" wrap="square" lIns="91440" tIns="45720" rIns="91440" bIns="45720" anchor="ctr">
          <a:noAutofit/>
        </a:bodyPr>
        <a:lstStyle xmlns:a="http://schemas.openxmlformats.org/drawingml/2006/main"/>
        <a:p xmlns:a="http://schemas.openxmlformats.org/drawingml/2006/mai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29d481768704372" /></Relationships>
</file>

<file path=xl/worksheets/_rels/sheet3.xml.rels>&#65279;<?xml version="1.0" encoding="utf-8"?><Relationships xmlns="http://schemas.openxmlformats.org/package/2006/relationships"><Relationship Type="http://schemas.openxmlformats.org/officeDocument/2006/relationships/drawing" Target="/xl/drawings/drawing2.xml" Id="R573900150dfc4875" /></Relationships>
</file>

<file path=xl/worksheets/sheet1.xml><?xml version="1.0" encoding="utf-8"?>
<x:worksheet xmlns:x="http://schemas.openxmlformats.org/spreadsheetml/2006/main">
  <x:sheetViews>
    <x:sheetView showGridLines="0" workbookViewId="0"/>
  </x:sheetViews>
  <x:sheetFormatPr baseColWidth="10" defaultColWidth="8.6640625" defaultRowHeight="15"/>
  <x:cols>
    <x:col min="2" max="2" width="5" hidden="0" customWidth="1"/>
    <x:col min="3" max="3" width="24" hidden="0" customWidth="1"/>
    <x:col min="4" max="4" width="20" hidden="0" customWidth="1"/>
    <x:col min="5" max="5" width="41" hidden="0" customWidth="1"/>
    <x:col min="6" max="6" width="25" hidden="0" customWidth="1"/>
    <x:col min="7" max="13" width="14.6640625" customWidth="1"/>
    <x:col min="14" max="14" width="64" hidden="0" customWidth="1"/>
    <x:col min="15" max="15" width="9.83203125"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6" hidden="0" customWidth="1"/>
  </x:cols>
  <x:sheetData>
    <x:row r="1" s="2" customFormat="1" ht="16.25" customHeight="1"/>
    <x:row r="2" s="2" customFormat="1" ht="16.25" customHeight="1">
      <x:c r="B2" s="4" t="str">
        <x:v>Axian - Centralized Monitoring &amp; Observability | OCI Observability Commercial</x:v>
      </x:c>
      <x:c r="C2" s="4"/>
    </x:row>
    <x:row r="3" s="2" customFormat="1" ht="16.25" customHeight="1">
      <x:c r="B3" s="5" t="str" cm="1">
        <x:f t="array" aca="1" ref="B3" ca="1"/>
        <x:v>OCI Observability Commercials</x:v>
      </x:c>
      <x:c r="C3" s="5"/>
      <x:c r="E3" s="26" t="s">
        <x:v>0</x:v>
      </x:c>
      <x:c r="F3" s="27"/>
    </x:row>
    <x:row r="4" s="2" customFormat="1" ht="16.25" customHeight="1"/>
    <x:row r="5" s="3" customFormat="1" ht="15" customHeight="1"/>
    <x:row r="6" s="2" customFormat="1" ht="8.25" customHeight="1"/>
    <x:row r="7" s="3" customFormat="1" ht="5.25" customHeight="1"/>
    <x:row r="8" s="2" customFormat="1" ht="43.5" customHeight="1">
      <x:c r="B8" s="25" t="str">
        <x:v>This separate BOM contains OCI Observability services only. Enter monthly usage or storage quantities in the blue quantity cells. All values are USD public PAYG estimates; the final Oracle quote and applicable agreement govern.</x:v>
      </x:c>
      <x:c r="C8" s="25"/>
      <x:c r="D8" s="25"/>
      <x:c r="E8" s="25"/>
    </x:row>
    <x:row r="12" ht="38" customHeight="1">
      <x:c r="B12" s="37" t="str">
        <x:v>#</x:v>
      </x:c>
      <x:c r="C12" s="37" t="str">
        <x:v>Cost Category</x:v>
      </x:c>
      <x:c r="D12" s="37" t="str">
        <x:v>Cost Component
(Part number)</x:v>
      </x:c>
      <x:c r="E12" s="37" t="str">
        <x:v>Description</x:v>
      </x:c>
      <x:c r="F12" s="37" t="str">
        <x:v>Pricing Unit</x:v>
      </x:c>
      <x:c r="G12" s="37" t="str">
        <x:v>No Licenses</x:v>
      </x:c>
      <x:c r="H12" s="37" t="str">
        <x:v>Year 1</x:v>
      </x:c>
      <x:c r="I12" s="37" t="str">
        <x:v>Year 2</x:v>
      </x:c>
      <x:c r="J12" s="37" t="str">
        <x:v>Year 3</x:v>
      </x:c>
      <x:c r="K12" s="37" t="str">
        <x:v>Year 4</x:v>
      </x:c>
      <x:c r="L12" s="37" t="str">
        <x:v>Year 5</x:v>
      </x:c>
      <x:c r="M12" s="37" t="str">
        <x:v>5-Year Total</x:v>
      </x:c>
      <x:c r="N12" s="37" t="str">
        <x:v>Comments / Notes</x:v>
      </x:c>
    </x:row>
    <x:row r="13" ht="48" customHeight="1">
      <x:c r="B13" s="40" t="n">
        <x:v>1</x:v>
      </x:c>
      <x:c r="C13" s="40" t="str">
        <x:v>OCI Observability Cloud Services</x:v>
      </x:c>
      <x:c r="D13" s="49" t="str">
        <x:v>B90925</x:v>
      </x:c>
      <x:c r="E13" s="49" t="str">
        <x:v>OCI Monitoring — Ingestion</x:v>
      </x:c>
      <x:c r="F13" s="50" t="str">
        <x:v>Million Datapoints per month</x:v>
      </x:c>
      <x:c r="G13" s="55" t="n">
        <x:v>0</x:v>
      </x:c>
      <x:c r="H13" s="53" t="n">
        <x:f>MAX($G13-'OCI Price Inputs'!$E$5,0)*'OCI Price Inputs'!$F$6*'OCI Price Inputs'!$D$21</x:f>
        <x:v>0</x:v>
      </x:c>
      <x:c r="I13" s="53" t="n">
        <x:f>MAX($G13-'OCI Price Inputs'!$E$5,0)*'OCI Price Inputs'!$F$6*'OCI Price Inputs'!$D$21</x:f>
        <x:v>0</x:v>
      </x:c>
      <x:c r="J13" s="53" t="n">
        <x:f>MAX($G13-'OCI Price Inputs'!$E$5,0)*'OCI Price Inputs'!$F$6*'OCI Price Inputs'!$D$21</x:f>
        <x:v>0</x:v>
      </x:c>
      <x:c r="K13" s="53" t="n">
        <x:f>MAX($G13-'OCI Price Inputs'!$E$5,0)*'OCI Price Inputs'!$F$6*'OCI Price Inputs'!$D$21</x:f>
        <x:v>0</x:v>
      </x:c>
      <x:c r="L13" s="53" t="n">
        <x:f>MAX($G13-'OCI Price Inputs'!$E$5,0)*'OCI Price Inputs'!$F$6*'OCI Price Inputs'!$D$21</x:f>
        <x:v>0</x:v>
      </x:c>
      <x:c r="M13" s="53" t="n">
        <x:f t="shared" ref="M13:M41" si="0">SUM(H13:L13)</x:f>
        <x:v>0</x:v>
      </x:c>
      <x:c r="N13" s="50" t="str">
        <x:v>First 500 million datapoints/month are free; USD 0.0025 per million above the threshold. https://apexapps.oracle.com/pls/apex/cetools/api/v1/products/?partNumber=B90925&amp;currencyCode=USD</x:v>
      </x:c>
    </x:row>
    <x:row r="14" ht="48" customHeight="1">
      <x:c r="B14" s="40"/>
      <x:c r="C14" s="40"/>
      <x:c r="D14" s="49" t="str">
        <x:v>B90926</x:v>
      </x:c>
      <x:c r="E14" s="49" t="str">
        <x:v>OCI Monitoring — Retrieval</x:v>
      </x:c>
      <x:c r="F14" s="50" t="str">
        <x:v>Million Datapoints per month</x:v>
      </x:c>
      <x:c r="G14" s="55" t="n">
        <x:v>0</x:v>
      </x:c>
      <x:c r="H14" s="53" t="n">
        <x:f>MAX($G14-'OCI Price Inputs'!$E$7,0)*'OCI Price Inputs'!$F$8*'OCI Price Inputs'!$D$21</x:f>
        <x:v>0</x:v>
      </x:c>
      <x:c r="I14" s="53" t="n">
        <x:f>MAX($G14-'OCI Price Inputs'!$E$7,0)*'OCI Price Inputs'!$F$8*'OCI Price Inputs'!$D$21</x:f>
        <x:v>0</x:v>
      </x:c>
      <x:c r="J14" s="53" t="n">
        <x:f>MAX($G14-'OCI Price Inputs'!$E$7,0)*'OCI Price Inputs'!$F$8*'OCI Price Inputs'!$D$21</x:f>
        <x:v>0</x:v>
      </x:c>
      <x:c r="K14" s="53" t="n">
        <x:f>MAX($G14-'OCI Price Inputs'!$E$7,0)*'OCI Price Inputs'!$F$8*'OCI Price Inputs'!$D$21</x:f>
        <x:v>0</x:v>
      </x:c>
      <x:c r="L14" s="53" t="n">
        <x:f>MAX($G14-'OCI Price Inputs'!$E$7,0)*'OCI Price Inputs'!$F$8*'OCI Price Inputs'!$D$21</x:f>
        <x:v>0</x:v>
      </x:c>
      <x:c r="M14" s="53" t="n">
        <x:f t="shared" si="0">SUM(H14:L14)</x:f>
        <x:v>0</x:v>
      </x:c>
      <x:c r="N14" s="50" t="str">
        <x:v>First 1,000 million datapoints/month are free; USD 0.0015 per million above the threshold. https://apexapps.oracle.com/pls/apex/cetools/api/v1/products/?partNumber=B90926&amp;currencyCode=USD</x:v>
      </x:c>
    </x:row>
    <x:row r="15" ht="48" customHeight="1">
      <x:c r="B15" s="40"/>
      <x:c r="C15" s="40"/>
      <x:c r="D15" s="49" t="str">
        <x:v>B92593</x:v>
      </x:c>
      <x:c r="E15" s="49" t="str">
        <x:v>OCI Logging — Storage</x:v>
      </x:c>
      <x:c r="F15" s="50" t="str">
        <x:v>Average GB Log Storage per month</x:v>
      </x:c>
      <x:c r="G15" s="55" t="n">
        <x:v>0</x:v>
      </x:c>
      <x:c r="H15" s="53" t="n">
        <x:f>MAX($G15-'OCI Price Inputs'!$E$9,0)*'OCI Price Inputs'!$F$10*'OCI Price Inputs'!$D$21</x:f>
        <x:v>0</x:v>
      </x:c>
      <x:c r="I15" s="53" t="n">
        <x:f>MAX($G15-'OCI Price Inputs'!$E$9,0)*'OCI Price Inputs'!$F$10*'OCI Price Inputs'!$D$21</x:f>
        <x:v>0</x:v>
      </x:c>
      <x:c r="J15" s="53" t="n">
        <x:f>MAX($G15-'OCI Price Inputs'!$E$9,0)*'OCI Price Inputs'!$F$10*'OCI Price Inputs'!$D$21</x:f>
        <x:v>0</x:v>
      </x:c>
      <x:c r="K15" s="53" t="n">
        <x:f>MAX($G15-'OCI Price Inputs'!$E$9,0)*'OCI Price Inputs'!$F$10*'OCI Price Inputs'!$D$21</x:f>
        <x:v>0</x:v>
      </x:c>
      <x:c r="L15" s="53" t="n">
        <x:f>MAX($G15-'OCI Price Inputs'!$E$9,0)*'OCI Price Inputs'!$F$10*'OCI Price Inputs'!$D$21</x:f>
        <x:v>0</x:v>
      </x:c>
      <x:c r="M15" s="53" t="n">
        <x:f t="shared" si="0">SUM(H15:L15)</x:f>
        <x:v>0</x:v>
      </x:c>
      <x:c r="N15" s="50" t="str">
        <x:v>First 10 GB-month are free; USD 0.05 per GB-month above the threshold. https://apexapps.oracle.com/pls/apex/cetools/api/v1/products/?partNumber=B92593&amp;currencyCode=USD</x:v>
      </x:c>
    </x:row>
    <x:row r="16" ht="48" customHeight="1">
      <x:c r="B16" s="40"/>
      <x:c r="C16" s="40"/>
      <x:c r="D16" s="49" t="str">
        <x:v>B95634</x:v>
      </x:c>
      <x:c r="E16" s="49" t="str">
        <x:v>OCI Log Analytics — Active Storage</x:v>
      </x:c>
      <x:c r="F16" s="50" t="str">
        <x:v>Active Storage Units per month</x:v>
      </x:c>
      <x:c r="G16" s="55" t="n">
        <x:v>0</x:v>
      </x:c>
      <x:c r="H16" s="53" t="n">
        <x:f>('OCI Price Inputs'!$F$11*MIN($G16,'OCI Price Inputs'!$E$11)+'OCI Price Inputs'!$F$12*MAX(MIN($G16,'OCI Price Inputs'!$E$12)-'OCI Price Inputs'!$D$12,0)+'OCI Price Inputs'!$F$13*MAX($G16-'OCI Price Inputs'!$D$13,0))*'OCI Price Inputs'!$D$21</x:f>
        <x:v>0</x:v>
      </x:c>
      <x:c r="I16" s="53" t="n">
        <x:f>('OCI Price Inputs'!$F$11*MIN($G16,'OCI Price Inputs'!$E$11)+'OCI Price Inputs'!$F$12*MAX(MIN($G16,'OCI Price Inputs'!$E$12)-'OCI Price Inputs'!$D$12,0)+'OCI Price Inputs'!$F$13*MAX($G16-'OCI Price Inputs'!$D$13,0))*'OCI Price Inputs'!$D$21</x:f>
        <x:v>0</x:v>
      </x:c>
      <x:c r="J16" s="53" t="n">
        <x:f>('OCI Price Inputs'!$F$11*MIN($G16,'OCI Price Inputs'!$E$11)+'OCI Price Inputs'!$F$12*MAX(MIN($G16,'OCI Price Inputs'!$E$12)-'OCI Price Inputs'!$D$12,0)+'OCI Price Inputs'!$F$13*MAX($G16-'OCI Price Inputs'!$D$13,0))*'OCI Price Inputs'!$D$21</x:f>
        <x:v>0</x:v>
      </x:c>
      <x:c r="K16" s="53" t="n">
        <x:f>('OCI Price Inputs'!$F$11*MIN($G16,'OCI Price Inputs'!$E$11)+'OCI Price Inputs'!$F$12*MAX(MIN($G16,'OCI Price Inputs'!$E$12)-'OCI Price Inputs'!$D$12,0)+'OCI Price Inputs'!$F$13*MAX($G16-'OCI Price Inputs'!$D$13,0))*'OCI Price Inputs'!$D$21</x:f>
        <x:v>0</x:v>
      </x:c>
      <x:c r="L16" s="53" t="n">
        <x:f>('OCI Price Inputs'!$F$11*MIN($G16,'OCI Price Inputs'!$E$11)+'OCI Price Inputs'!$F$12*MAX(MIN($G16,'OCI Price Inputs'!$E$12)-'OCI Price Inputs'!$D$12,0)+'OCI Price Inputs'!$F$13*MAX($G16-'OCI Price Inputs'!$D$13,0))*'OCI Price Inputs'!$D$21</x:f>
        <x:v>0</x:v>
      </x:c>
      <x:c r="M16" s="53" t="n">
        <x:f>SUM(H16:L16)</x:f>
        <x:v>0</x:v>
      </x:c>
      <x:c r="N16" s="50" t="str">
        <x:v>PAYG tiers: first 35 units USD 372/unit-month; units 36–103 USD 260.40; units above 103 USD 223.20. https://apexapps.oracle.com/pls/apex/cetools/api/v1/products/?partNumber=B95634&amp;currencyCode=USD</x:v>
      </x:c>
    </x:row>
    <x:row r="17" ht="48" customHeight="1">
      <x:c r="B17" s="40"/>
      <x:c r="C17" s="40"/>
      <x:c r="D17" s="49" t="str">
        <x:v>B92809</x:v>
      </x:c>
      <x:c r="E17" s="49" t="str">
        <x:v>OCI Log Analytics — Archival Storage</x:v>
      </x:c>
      <x:c r="F17" s="50" t="str">
        <x:v>Archival Storage Units</x:v>
      </x:c>
      <x:c r="G17" s="55" t="n">
        <x:v>0</x:v>
      </x:c>
      <x:c r="H17" s="53" t="n">
        <x:f>$G17*'OCI Price Inputs'!$F$14*'OCI Price Inputs'!$D$22</x:f>
        <x:v>0</x:v>
      </x:c>
      <x:c r="I17" s="53" t="n">
        <x:f>$G17*'OCI Price Inputs'!$F$14*'OCI Price Inputs'!$D$22</x:f>
        <x:v>0</x:v>
      </x:c>
      <x:c r="J17" s="53" t="n">
        <x:f>$G17*'OCI Price Inputs'!$F$14*'OCI Price Inputs'!$D$22</x:f>
        <x:v>0</x:v>
      </x:c>
      <x:c r="K17" s="53" t="n">
        <x:f>$G17*'OCI Price Inputs'!$F$14*'OCI Price Inputs'!$D$22</x:f>
        <x:v>0</x:v>
      </x:c>
      <x:c r="L17" s="53" t="n">
        <x:f>$G17*'OCI Price Inputs'!$F$14*'OCI Price Inputs'!$D$22</x:f>
        <x:v>0</x:v>
      </x:c>
      <x:c r="M17" s="53" t="n">
        <x:f>SUM(H17:L17)</x:f>
        <x:v>0</x:v>
      </x:c>
      <x:c r="N17" s="50" t="str">
        <x:v>USD 0.02 per storage unit-hour. Use only for the approved archive tier and retention policy. https://apexapps.oracle.com/pls/apex/cetools/api/v1/products/?partNumber=B92809&amp;currencyCode=USD</x:v>
      </x:c>
    </x:row>
    <x:row r="18" ht="48" customHeight="1">
      <x:c r="B18" s="40"/>
      <x:c r="C18" s="40"/>
      <x:c r="D18" s="49" t="str">
        <x:v>B95634</x:v>
      </x:c>
      <x:c r="E18" s="49" t="str">
        <x:v>OCI Application Performance Monitoring — active-storage commercial presumption</x:v>
      </x:c>
      <x:c r="F18" s="50" t="str">
        <x:v>300 GB active storage units per month</x:v>
      </x:c>
      <x:c r="G18" s="55" t="n">
        <x:v>1</x:v>
      </x:c>
      <x:c r="H18" s="53" t="n">
        <x:f>('OCI Price Inputs'!$F$11*MIN($G18,'OCI Price Inputs'!$E$11)+'OCI Price Inputs'!$F$12*MAX(MIN($G18,'OCI Price Inputs'!$E$12)-'OCI Price Inputs'!$D$12,0)+'OCI Price Inputs'!$F$13*MAX($G18-'OCI Price Inputs'!$D$13,0))*'OCI Price Inputs'!$D$21</x:f>
        <x:v>4464</x:v>
      </x:c>
      <x:c r="I18" s="53" t="n">
        <x:f>('OCI Price Inputs'!$F$11*MIN($G18,'OCI Price Inputs'!$E$11)+'OCI Price Inputs'!$F$12*MAX(MIN($G18,'OCI Price Inputs'!$E$12)-'OCI Price Inputs'!$D$12,0)+'OCI Price Inputs'!$F$13*MAX($G18-'OCI Price Inputs'!$D$13,0))*'OCI Price Inputs'!$D$21</x:f>
        <x:v>4464</x:v>
      </x:c>
      <x:c r="J18" s="53" t="n">
        <x:f>('OCI Price Inputs'!$F$11*MIN($G18,'OCI Price Inputs'!$E$11)+'OCI Price Inputs'!$F$12*MAX(MIN($G18,'OCI Price Inputs'!$E$12)-'OCI Price Inputs'!$D$12,0)+'OCI Price Inputs'!$F$13*MAX($G18-'OCI Price Inputs'!$D$13,0))*'OCI Price Inputs'!$D$21</x:f>
        <x:v>4464</x:v>
      </x:c>
      <x:c r="K18" s="53" t="n">
        <x:f>('OCI Price Inputs'!$F$11*MIN($G18,'OCI Price Inputs'!$E$11)+'OCI Price Inputs'!$F$12*MAX(MIN($G18,'OCI Price Inputs'!$E$12)-'OCI Price Inputs'!$D$12,0)+'OCI Price Inputs'!$F$13*MAX($G18-'OCI Price Inputs'!$D$13,0))*'OCI Price Inputs'!$D$21</x:f>
        <x:v>4464</x:v>
      </x:c>
      <x:c r="L18" s="53" t="n">
        <x:f>('OCI Price Inputs'!$F$11*MIN($G18,'OCI Price Inputs'!$E$11)+'OCI Price Inputs'!$F$12*MAX(MIN($G18,'OCI Price Inputs'!$E$12)-'OCI Price Inputs'!$D$12,0)+'OCI Price Inputs'!$F$13*MAX($G18-'OCI Price Inputs'!$D$13,0))*'OCI Price Inputs'!$D$21</x:f>
        <x:v>4464</x:v>
      </x:c>
      <x:c r="M18" s="53" t="n">
        <x:f>SUM(H18:L18)</x:f>
        <x:v>22320</x:v>
      </x:c>
      <x:c r="N18" s="50" t="str">
        <x:v>Working assumption: 300 GB APM active storage = 1 × B95634 at USD 372/month. This is not a standalone APM SKU mapping returned by the pricing API; final Oracle quote must confirm.</x:v>
      </x:c>
    </x:row>
    <x:row r="19" ht="48" customHeight="1">
      <x:c r="B19" s="40"/>
      <x:c r="C19" s="40"/>
      <x:c r="D19" s="49" t="str">
        <x:v>No standalone SKU</x:v>
      </x:c>
      <x:c r="E19" s="49" t="str">
        <x:v>Log Analytics Kubernetes Monitoring Solution</x:v>
      </x:c>
      <x:c r="F19" s="50" t="str">
        <x:v>Customer-managed Kubernetes clusters</x:v>
      </x:c>
      <x:c r="G19" s="55" t="n">
        <x:v>0</x:v>
      </x:c>
      <x:c r="H19" s="53" t="n">
        <x:f>0</x:f>
        <x:v>0</x:v>
      </x:c>
      <x:c r="I19" s="53" t="n">
        <x:f>0</x:f>
        <x:v>0</x:v>
      </x:c>
      <x:c r="J19" s="53" t="n">
        <x:f>0</x:f>
        <x:v>0</x:v>
      </x:c>
      <x:c r="K19" s="53" t="n">
        <x:f>0</x:f>
        <x:v>0</x:v>
      </x:c>
      <x:c r="L19" s="53" t="n">
        <x:f>0</x:f>
        <x:v>0</x:v>
      </x:c>
      <x:c r="M19" s="53" t="n">
        <x:f>SUM(H19:L19)</x:f>
        <x:v>0</x:v>
      </x:c>
      <x:c r="N19" s="50" t="str">
        <x:v>No separate list-price line. Consumes Log Analytics active/archive storage and related telemetry services. Manual Helm/manifests deployment per customer-managed Kubernetes cluster.</x:v>
      </x:c>
    </x:row>
    <x:row r="20" ht="48" customHeight="1">
      <x:c r="B20" s="40"/>
      <x:c r="C20" s="40"/>
      <x:c r="D20" s="49" t="str">
        <x:v>No standalone SKU</x:v>
      </x:c>
      <x:c r="E20" s="49" t="str">
        <x:v>OCI Management Agent and Management Gateway</x:v>
      </x:c>
      <x:c r="F20" s="50" t="str">
        <x:v>Supported agent/gateway deployments</x:v>
      </x:c>
      <x:c r="G20" s="55" t="n">
        <x:v>0</x:v>
      </x:c>
      <x:c r="H20" s="53" t="n">
        <x:f>0</x:f>
        <x:v>0</x:v>
      </x:c>
      <x:c r="I20" s="53" t="n">
        <x:f>0</x:f>
        <x:v>0</x:v>
      </x:c>
      <x:c r="J20" s="53" t="n">
        <x:f>0</x:f>
        <x:v>0</x:v>
      </x:c>
      <x:c r="K20" s="53" t="n">
        <x:f>0</x:f>
        <x:v>0</x:v>
      </x:c>
      <x:c r="L20" s="53" t="n">
        <x:f>0</x:f>
        <x:v>0</x:v>
      </x:c>
      <x:c r="M20" s="53" t="n">
        <x:f t="shared" si="0">SUM(H20:L20)</x:f>
        <x:v>0</x:v>
      </x:c>
      <x:c r="N20" s="50" t="str">
        <x:v>No separate list-price line returned. Validate redundant gateways, proxy, certificates, resource footprint and lifecycle where supported hybrid collection requires it.</x:v>
      </x:c>
    </x:row>
    <x:row r="21" ht="48" customHeight="1">
      <x:c r="B21" s="40"/>
      <x:c r="C21" s="40"/>
      <x:c r="D21" s="49" t="str">
        <x:v>No standalone SKU</x:v>
      </x:c>
      <x:c r="E21" s="49" t="str">
        <x:v>OCI Connector Hub</x:v>
      </x:c>
      <x:c r="F21" s="50" t="str">
        <x:v>Service connectors</x:v>
      </x:c>
      <x:c r="G21" s="55" t="n">
        <x:v>0</x:v>
      </x:c>
      <x:c r="H21" s="53" t="n">
        <x:f>0</x:f>
        <x:v>0</x:v>
      </x:c>
      <x:c r="I21" s="53" t="n">
        <x:f>0</x:f>
        <x:v>0</x:v>
      </x:c>
      <x:c r="J21" s="53" t="n">
        <x:f>0</x:f>
        <x:v>0</x:v>
      </x:c>
      <x:c r="K21" s="53" t="n">
        <x:f>0</x:f>
        <x:v>0</x:v>
      </x:c>
      <x:c r="L21" s="53" t="n">
        <x:f>0</x:f>
        <x:v>0</x:v>
      </x:c>
      <x:c r="M21" s="53" t="n">
        <x:f t="shared" si="0">SUM(H21:L21)</x:f>
        <x:v>0</x:v>
      </x:c>
      <x:c r="N21" s="50" t="str">
        <x:v>No standalone list-price line returned. Destination services remain chargeable; size by approved source/destination/residency routes.</x:v>
      </x:c>
    </x:row>
    <x:row r="22" ht="48" customHeight="1">
      <x:c r="B22" s="40"/>
      <x:c r="C22" s="40"/>
      <x:c r="D22" s="49" t="str">
        <x:v>B90940</x:v>
      </x:c>
      <x:c r="E22" s="49" t="str">
        <x:v>OCI Notifications — HTTPS Delivery</x:v>
      </x:c>
      <x:c r="F22" s="50" t="str">
        <x:v>Million delivery operations per month</x:v>
      </x:c>
      <x:c r="G22" s="55" t="n">
        <x:v>0</x:v>
      </x:c>
      <x:c r="H22" s="53" t="n">
        <x:f>MAX($G22-'OCI Price Inputs'!$E$15,0)*'OCI Price Inputs'!$F$16*'OCI Price Inputs'!$D$21</x:f>
        <x:v>0</x:v>
      </x:c>
      <x:c r="I22" s="53" t="n">
        <x:f>MAX($G22-'OCI Price Inputs'!$E$15,0)*'OCI Price Inputs'!$F$16*'OCI Price Inputs'!$D$21</x:f>
        <x:v>0</x:v>
      </x:c>
      <x:c r="J22" s="53" t="n">
        <x:f>MAX($G22-'OCI Price Inputs'!$E$15,0)*'OCI Price Inputs'!$F$16*'OCI Price Inputs'!$D$21</x:f>
        <x:v>0</x:v>
      </x:c>
      <x:c r="K22" s="53" t="n">
        <x:f>MAX($G22-'OCI Price Inputs'!$E$15,0)*'OCI Price Inputs'!$F$16*'OCI Price Inputs'!$D$21</x:f>
        <x:v>0</x:v>
      </x:c>
      <x:c r="L22" s="53" t="n">
        <x:f>MAX($G22-'OCI Price Inputs'!$E$15,0)*'OCI Price Inputs'!$F$16*'OCI Price Inputs'!$D$21</x:f>
        <x:v>0</x:v>
      </x:c>
      <x:c r="M22" s="53" t="n">
        <x:f t="shared" si="0">SUM(H22:L22)</x:f>
        <x:v>0</x:v>
      </x:c>
      <x:c r="N22" s="50" t="str">
        <x:v>First 1 million HTTPS deliveries/month are free; USD 0.60 per million above the threshold. https://apexapps.oracle.com/pls/apex/cetools/api/v1/products/?partNumber=B90940&amp;currencyCode=USD</x:v>
      </x:c>
    </x:row>
    <x:row r="23" ht="48" customHeight="1">
      <x:c r="B23" s="40"/>
      <x:c r="C23" s="40"/>
      <x:c r="D23" s="49" t="str">
        <x:v>B90941</x:v>
      </x:c>
      <x:c r="E23" s="49" t="str">
        <x:v>OCI Notifications — Email Delivery</x:v>
      </x:c>
      <x:c r="F23" s="50" t="str">
        <x:v>1,000 emails sent per month</x:v>
      </x:c>
      <x:c r="G23" s="55" t="n">
        <x:v>0</x:v>
      </x:c>
      <x:c r="H23" s="53" t="n">
        <x:f>MAX($G23-'OCI Price Inputs'!$E$17,0)*'OCI Price Inputs'!$F$18*'OCI Price Inputs'!$D$21</x:f>
        <x:v>0</x:v>
      </x:c>
      <x:c r="I23" s="53" t="n">
        <x:f>MAX($G23-'OCI Price Inputs'!$E$17,0)*'OCI Price Inputs'!$F$18*'OCI Price Inputs'!$D$21</x:f>
        <x:v>0</x:v>
      </x:c>
      <x:c r="J23" s="53" t="n">
        <x:f>MAX($G23-'OCI Price Inputs'!$E$17,0)*'OCI Price Inputs'!$F$18*'OCI Price Inputs'!$D$21</x:f>
        <x:v>0</x:v>
      </x:c>
      <x:c r="K23" s="53" t="n">
        <x:f>MAX($G23-'OCI Price Inputs'!$E$17,0)*'OCI Price Inputs'!$F$18*'OCI Price Inputs'!$D$21</x:f>
        <x:v>0</x:v>
      </x:c>
      <x:c r="L23" s="53" t="n">
        <x:f>MAX($G23-'OCI Price Inputs'!$E$17,0)*'OCI Price Inputs'!$F$18*'OCI Price Inputs'!$D$21</x:f>
        <x:v>0</x:v>
      </x:c>
      <x:c r="M23" s="53" t="n">
        <x:f t="shared" si="0">SUM(H23:L23)</x:f>
        <x:v>0</x:v>
      </x:c>
      <x:c r="N23" s="50" t="str">
        <x:v>First 1,000 emails/month are free; USD 0.02 per additional 1,000. https://apexapps.oracle.com/pls/apex/cetools/api/v1/products/?partNumber=B90941&amp;currencyCode=USD</x:v>
      </x:c>
    </x:row>
    <x:row r="24" ht="48" customHeight="1">
      <x:c r="B24" s="40"/>
      <x:c r="C24" s="40"/>
      <x:c r="D24" s="49" t="str">
        <x:v>No standalone SKU</x:v>
      </x:c>
      <x:c r="E24" s="49" t="str">
        <x:v>LoganAI</x:v>
      </x:c>
      <x:c r="F24" s="50" t="str">
        <x:v>Enabled analyst capability</x:v>
      </x:c>
      <x:c r="G24" s="55" t="n">
        <x:v>0</x:v>
      </x:c>
      <x:c r="H24" s="53" t="n">
        <x:f>0</x:f>
        <x:v>0</x:v>
      </x:c>
      <x:c r="I24" s="53" t="n">
        <x:f>0</x:f>
        <x:v>0</x:v>
      </x:c>
      <x:c r="J24" s="53" t="n">
        <x:f>0</x:f>
        <x:v>0</x:v>
      </x:c>
      <x:c r="K24" s="53" t="n">
        <x:f>0</x:f>
        <x:v>0</x:v>
      </x:c>
      <x:c r="L24" s="53" t="n">
        <x:f>0</x:f>
        <x:v>0</x:v>
      </x:c>
      <x:c r="M24" s="53" t="n">
        <x:f t="shared" si="0">SUM(H24:L24)</x:f>
        <x:v>0</x:v>
      </x:c>
      <x:c r="N24" s="50" t="str">
        <x:v>No standalone Observability SKU returned. Analyst assistance only; any optional custom GenAI coordinator and AI/API SKUs are outside this BOM.</x:v>
      </x:c>
    </x:row>
    <x:row r="25" ht="28" customHeight="1">
      <x:c r="B25" s="24"/>
      <x:c r="C25" s="65" t="str">
        <x:v>TOTAL (USD)</x:v>
      </x:c>
      <x:c r="D25" s="66"/>
      <x:c r="E25" s="66"/>
      <x:c r="F25" s="65"/>
      <x:c r="G25" s="67"/>
      <x:c r="H25" s="68" t="n">
        <x:f>SUM(H13:H24)</x:f>
        <x:v>4464</x:v>
      </x:c>
      <x:c r="I25" s="68" t="n">
        <x:f>SUM(I13:I24)</x:f>
        <x:v>4464</x:v>
      </x:c>
      <x:c r="J25" s="68" t="n">
        <x:f>SUM(J13:J24)</x:f>
        <x:v>4464</x:v>
      </x:c>
      <x:c r="K25" s="68" t="n">
        <x:f>SUM(K13:K24)</x:f>
        <x:v>4464</x:v>
      </x:c>
      <x:c r="L25" s="68" t="n">
        <x:f>SUM(L13:L24)</x:f>
        <x:v>4464</x:v>
      </x:c>
      <x:c r="M25" s="68" t="n">
        <x:f t="shared" si="0">SUM(M13:M24)</x:f>
        <x:v>22320</x:v>
      </x:c>
      <x:c r="N25" s="65" t="str">
        <x:v>Working estimate using editable quantities and public USD PAYG rates retrieved 2026-08-04.</x:v>
      </x:c>
    </x:row>
    <x:row r="26" ht="25" customHeight="1">
      <x:c r="B26" s="24"/>
      <x:c r="C26" s="24"/>
      <x:c r="D26" s="12"/>
      <x:c r="E26" s="12"/>
      <x:c r="F26" s="8"/>
      <x:c r="G26" s="18"/>
      <x:c r="H26" s="10"/>
      <x:c r="I26" s="10"/>
      <x:c r="J26" s="10"/>
      <x:c r="K26" s="10"/>
      <x:c r="L26" s="10"/>
      <x:c r="M26" s="10">
        <x:f t="shared" si="0"/>
      </x:c>
      <x:c r="N26" s="7"/>
    </x:row>
    <x:row r="27" ht="34" customHeight="1">
      <x:c r="B27" s="79" t="str">
        <x:v>Commercial assumptions</x:v>
      </x:c>
      <x:c r="C27" s="79"/>
      <x:c r="D27" s="80"/>
      <x:c r="E27" s="80"/>
      <x:c r="F27" s="79"/>
      <x:c r="G27" s="81"/>
      <x:c r="H27" s="82"/>
      <x:c r="I27" s="82"/>
      <x:c r="J27" s="82"/>
      <x:c r="K27" s="82"/>
      <x:c r="L27" s="82"/>
      <x:c r="M27" s="82">
        <x:f t="shared" si="0"/>
      </x:c>
      <x:c r="N27" s="79"/>
    </x:row>
    <x:row r="28" ht="44" customHeight="1">
      <x:c r="B28" s="69" t="str">
        <x:v>APM presumption: 300 GB active storage = 1 × B95634. Quantity defaults to 1, producing USD 4,464/year and USD 22,320 over five years at the first-tier public PAYG rate.</x:v>
      </x:c>
      <x:c r="C28" s="69"/>
      <x:c r="D28" s="70"/>
      <x:c r="E28" s="70"/>
      <x:c r="F28" s="71"/>
      <x:c r="G28" s="72"/>
      <x:c r="H28" s="73"/>
      <x:c r="I28" s="73"/>
      <x:c r="J28" s="73"/>
      <x:c r="K28" s="73"/>
      <x:c r="L28" s="73"/>
      <x:c r="M28" s="73">
        <x:f t="shared" si="0"/>
      </x:c>
      <x:c r="N28" s="71"/>
    </x:row>
    <x:row r="29" ht="44" customHeight="1">
      <x:c r="B29" s="69" t="str">
        <x:v>All other quantities default to zero until measured. Update G13:G24 with monthly usage/storage drivers; the annual and five-year amounts recalculate automatically. No year-over-year growth, inflation, taxes, support or contracted discounts are applied.</x:v>
      </x:c>
      <x:c r="C29" s="69"/>
      <x:c r="D29" s="70"/>
      <x:c r="E29" s="70"/>
      <x:c r="F29" s="71"/>
      <x:c r="G29" s="72"/>
      <x:c r="H29" s="73"/>
      <x:c r="I29" s="73"/>
      <x:c r="J29" s="73"/>
      <x:c r="K29" s="73"/>
      <x:c r="L29" s="73"/>
      <x:c r="M29" s="73">
        <x:f t="shared" si="0"/>
      </x:c>
      <x:c r="N29" s="71"/>
    </x:row>
    <x:row r="30" ht="44" customHeight="1">
      <x:c r="B30" s="69" t="str">
        <x:v>Scope: OCI Observability services only. All non-Observability products, platform/database tooling, custom AI-agent/API services, networking/security foundations and professional services are excluded.</x:v>
      </x:c>
      <x:c r="C30" s="69"/>
      <x:c r="D30" s="70"/>
      <x:c r="E30" s="70"/>
      <x:c r="F30" s="71"/>
      <x:c r="G30" s="72"/>
      <x:c r="H30" s="73"/>
      <x:c r="I30" s="73"/>
      <x:c r="J30" s="73"/>
      <x:c r="K30" s="73"/>
      <x:c r="L30" s="73"/>
      <x:c r="M30" s="73">
        <x:f t="shared" si="0"/>
      </x:c>
      <x:c r="N30" s="71"/>
    </x:row>
    <x:row r="31" ht="34" customHeight="1">
      <x:c r="B31" s="69" t="str">
        <x:v>Pricing source: https://apexapps.oracle.com/pls/apex/cetools/api/v1/products/ — official USD PAYG API values retrieved 2026-08-04. Final Oracle quote and applicable agreement govern.</x:v>
      </x:c>
      <x:c r="C31" s="69"/>
      <x:c r="D31" s="70"/>
      <x:c r="E31" s="70"/>
      <x:c r="F31" s="71"/>
      <x:c r="G31" s="72"/>
      <x:c r="H31" s="73"/>
      <x:c r="I31" s="73"/>
      <x:c r="J31" s="73"/>
      <x:c r="K31" s="73"/>
      <x:c r="L31" s="73"/>
      <x:c r="M31" s="73">
        <x:f t="shared" si="0"/>
      </x:c>
      <x:c r="N31" s="71"/>
    </x:row>
    <x:row r="32" ht="25" customHeight="1">
      <x:c r="B32" s="24"/>
      <x:c r="C32" s="24"/>
      <x:c r="D32" s="12"/>
      <x:c r="E32" s="12"/>
      <x:c r="F32" s="8"/>
      <x:c r="G32" s="18"/>
      <x:c r="H32" s="10"/>
      <x:c r="I32" s="10"/>
      <x:c r="J32" s="10"/>
      <x:c r="K32" s="10"/>
      <x:c r="L32" s="10"/>
      <x:c r="M32" s="10">
        <x:f t="shared" si="0"/>
      </x:c>
      <x:c r="N32" s="7"/>
    </x:row>
    <x:row r="33" ht="25" customHeight="1">
      <x:c r="B33" s="24"/>
      <x:c r="C33" s="24"/>
      <x:c r="D33" s="12"/>
      <x:c r="E33" s="12"/>
      <x:c r="F33" s="8"/>
      <x:c r="G33" s="18"/>
      <x:c r="H33" s="10"/>
      <x:c r="I33" s="10"/>
      <x:c r="J33" s="10"/>
      <x:c r="K33" s="10"/>
      <x:c r="L33" s="10"/>
      <x:c r="M33" s="10">
        <x:f t="shared" si="0"/>
      </x:c>
      <x:c r="N33" s="7"/>
    </x:row>
    <x:row r="34" ht="25" customHeight="1">
      <x:c r="B34" s="24"/>
      <x:c r="C34" s="24"/>
      <x:c r="D34" s="12"/>
      <x:c r="E34" s="12"/>
      <x:c r="F34" s="8"/>
      <x:c r="G34" s="18"/>
      <x:c r="H34" s="10"/>
      <x:c r="I34" s="10"/>
      <x:c r="J34" s="10"/>
      <x:c r="K34" s="10"/>
      <x:c r="L34" s="10"/>
      <x:c r="M34" s="10">
        <x:f t="shared" si="0"/>
      </x:c>
      <x:c r="N34" s="7"/>
    </x:row>
    <x:row r="35" ht="25" customHeight="1">
      <x:c r="B35" s="24"/>
      <x:c r="C35" s="24"/>
      <x:c r="D35" s="12"/>
      <x:c r="E35" s="12"/>
      <x:c r="F35" s="8"/>
      <x:c r="G35" s="18"/>
      <x:c r="H35" s="10"/>
      <x:c r="I35" s="10"/>
      <x:c r="J35" s="10"/>
      <x:c r="K35" s="10"/>
      <x:c r="L35" s="10"/>
      <x:c r="M35" s="10">
        <x:f t="shared" si="0"/>
      </x:c>
      <x:c r="N35" s="7"/>
    </x:row>
    <x:row r="36" ht="88" customHeight="1">
      <x:c r="B36" s="24"/>
      <x:c r="C36" s="24"/>
      <x:c r="D36" s="12"/>
      <x:c r="E36" s="12"/>
      <x:c r="F36" s="12"/>
      <x:c r="G36" s="12"/>
      <x:c r="H36" s="10"/>
      <x:c r="I36" s="10"/>
      <x:c r="J36" s="10"/>
      <x:c r="K36" s="10"/>
      <x:c r="L36" s="10"/>
      <x:c r="M36" s="10">
        <x:f t="shared" si="0"/>
      </x:c>
      <x:c r="N36" s="7"/>
    </x:row>
    <x:row r="37" ht="25" customHeight="1">
      <x:c r="B37" s="24"/>
      <x:c r="C37" s="24"/>
      <x:c r="D37" s="12"/>
      <x:c r="E37" s="12"/>
      <x:c r="F37" s="8"/>
      <x:c r="G37" s="18"/>
      <x:c r="H37" s="10"/>
      <x:c r="I37" s="10"/>
      <x:c r="J37" s="10"/>
      <x:c r="K37" s="10"/>
      <x:c r="L37" s="10"/>
      <x:c r="M37" s="10">
        <x:f t="shared" si="0"/>
      </x:c>
      <x:c r="N37" s="7"/>
    </x:row>
    <x:row r="38" ht="25" customHeight="1">
      <x:c r="B38" s="24"/>
      <x:c r="C38" s="24"/>
      <x:c r="D38" s="12"/>
      <x:c r="E38" s="12"/>
      <x:c r="F38" s="8"/>
      <x:c r="G38" s="18"/>
      <x:c r="H38" s="10"/>
      <x:c r="I38" s="10"/>
      <x:c r="J38" s="10"/>
      <x:c r="K38" s="10"/>
      <x:c r="L38" s="10"/>
      <x:c r="M38" s="10">
        <x:f t="shared" si="0"/>
      </x:c>
      <x:c r="N38" s="7"/>
    </x:row>
    <x:row r="39" ht="25" customHeight="1">
      <x:c r="B39" s="24"/>
      <x:c r="C39" s="24"/>
      <x:c r="D39" s="12"/>
      <x:c r="E39" s="12"/>
      <x:c r="F39" s="8"/>
      <x:c r="G39" s="18"/>
      <x:c r="H39" s="10"/>
      <x:c r="I39" s="10"/>
      <x:c r="J39" s="10"/>
      <x:c r="K39" s="10"/>
      <x:c r="L39" s="10"/>
      <x:c r="M39" s="10">
        <x:f t="shared" si="0"/>
      </x:c>
      <x:c r="N39" s="7"/>
    </x:row>
    <x:row r="40" ht="25" customHeight="1">
      <x:c r="B40" s="24"/>
      <x:c r="C40" s="24"/>
      <x:c r="D40" s="12"/>
      <x:c r="E40" s="12"/>
      <x:c r="F40" s="8"/>
      <x:c r="G40" s="18"/>
      <x:c r="H40" s="17"/>
      <x:c r="I40" s="17"/>
      <x:c r="J40" s="17"/>
      <x:c r="K40" s="17"/>
      <x:c r="L40" s="17"/>
      <x:c r="M40" s="17">
        <x:f t="shared" si="0"/>
      </x:c>
      <x:c r="N40" s="8"/>
    </x:row>
    <x:row r="41" ht="25" customHeight="1">
      <x:c r="B41" s="19"/>
      <x:c r="C41" s="19"/>
      <x:c r="D41" s="12"/>
      <x:c r="E41" s="12"/>
      <x:c r="F41" s="8"/>
      <x:c r="G41" s="18"/>
      <x:c r="H41" s="17"/>
      <x:c r="I41" s="17"/>
      <x:c r="J41" s="17"/>
      <x:c r="K41" s="17"/>
      <x:c r="L41" s="17"/>
      <x:c r="M41" s="17">
        <x:f t="shared" si="0"/>
      </x:c>
      <x:c r="N41" s="8"/>
    </x:row>
    <x:row r="42" ht="30" customHeight="1">
      <x:c r="B42" s="14"/>
      <x:c r="C42" s="22"/>
      <x:c r="D42" s="23"/>
      <x:c r="E42" s="15"/>
      <x:c r="F42" s="16"/>
      <x:c r="G42" s="6"/>
      <x:c r="H42" s="9">
        <x:f t="shared" ref="H42:M42" si="1">SUM(H13:H39)</x:f>
      </x:c>
      <x:c r="I42" s="9">
        <x:f t="shared" si="1"/>
      </x:c>
      <x:c r="J42" s="9">
        <x:f t="shared" si="1"/>
      </x:c>
      <x:c r="K42" s="9">
        <x:f t="shared" si="1"/>
      </x:c>
      <x:c r="L42" s="9">
        <x:f t="shared" si="1"/>
      </x:c>
      <x:c r="M42" s="9">
        <x:f t="shared" si="1"/>
      </x:c>
      <x:c r="N42" s="6"/>
    </x:row>
    <x:row r="44">
      <x:c r="C44"/>
    </x:row>
    <x:row r="46">
      <x:c r="C46"/>
    </x:row>
    <x:row r="48">
      <x:c r="C48"/>
    </x:row>
  </x:sheetData>
  <x:mergeCells>
    <x:mergeCell ref="B8:E8"/>
    <x:mergeCell ref="E3:F3"/>
    <x:mergeCell ref="B13:B24"/>
    <x:mergeCell ref="C13:C24"/>
    <x:mergeCell ref="C25:D25"/>
    <x:mergeCell ref="B27:N27"/>
    <x:mergeCell ref="B28:N28"/>
    <x:mergeCell ref="B29:N29"/>
    <x:mergeCell ref="B30:N30"/>
    <x:mergeCell ref="B31:N31"/>
  </x:mergeCells>
  <x:conditionalFormatting sqref="F13:F35 F37:F41">
    <x:cfRule type="containsText" dxfId="1" priority="1" operator="containsText" text="Select an">
      <x:formula>NOT(ISERROR(SEARCH("Select an",F13)))</x:formula>
    </x:cfRule>
    <x:cfRule type="containsText" dxfId="0" priority="2" operator="containsText" text="Select Unit Basis">
      <x:formula>NOT(ISERROR(SEARCH("Select Unit Basis",F13)))</x:formula>
    </x:cfRule>
  </x:conditionalFormatting>
  <x:dataValidations count="13">
    <x:dataValidation type="list" allowBlank="1" showInputMessage="1" showErrorMessage="1" sqref="F13">
      <x:formula1>"Select an option,Per-user , Per-device , Per-module , Concurrent user"</x:formula1>
    </x:dataValidation>
    <x:dataValidation type="list" allowBlank="1" showInputMessage="1" showErrorMessage="1" sqref="F14 F29">
      <x:formula1>"Select an option,Annual ,Monthly, One-time"</x:formula1>
    </x:dataValidation>
    <x:dataValidation type="list" allowBlank="1" showInputMessage="1" showErrorMessage="1" sqref="F20">
      <x:formula1>"Select an option,Fixed fee , Per hour (T&amp;M)"</x:formula1>
    </x:dataValidation>
    <x:dataValidation type="list" allowBlank="1" showInputMessage="1" showErrorMessage="1" sqref="F21">
      <x:formula1>"Select an option,Per GB , Per source system , Fixed fee"</x:formula1>
    </x:dataValidation>
    <x:dataValidation type="list" allowBlank="1" showInputMessage="1" showErrorMessage="1" sqref="F22:F23 F40">
      <x:formula1>"Select an option,Per hour , Fixed fee"</x:formula1>
    </x:dataValidation>
    <x:dataValidation type="list" allowBlank="1" showInputMessage="1" showErrorMessage="1" sqref="F24">
      <x:formula1>"Select an option,Per-connector , Annual"</x:formula1>
    </x:dataValidation>
    <x:dataValidation type="list" allowBlank="1" showInputMessage="1" showErrorMessage="1" sqref="F31">
      <x:formula1>"Select an option,Annual, Per instance"</x:formula1>
    </x:dataValidation>
    <x:dataValidation type="list" allowBlank="1" showInputMessage="1" showErrorMessage="1" sqref="F32">
      <x:formula1>"Select an option,Per month , Fixed fee"</x:formula1>
    </x:dataValidation>
    <x:dataValidation type="list" allowBlank="1" showInputMessage="1" showErrorMessage="1" sqref="F33">
      <x:formula1>"Select an option,Percentage of project cost, Fixed fee"</x:formula1>
    </x:dataValidation>
    <x:dataValidation type="list" allowBlank="1" showInputMessage="1" showErrorMessage="1" sqref="F37">
      <x:formula1>"Select an option,Included in annual fee , Separate service fee"</x:formula1>
    </x:dataValidation>
    <x:dataValidation type="list" allowBlank="1" showInputMessage="1" showErrorMessage="1" sqref="F39">
      <x:formula1>"Select an option,Per person, Per session ,Fixed fee"</x:formula1>
    </x:dataValidation>
    <x:dataValidation type="list" allowBlank="1" showInputMessage="1" showErrorMessage="1" sqref="F41">
      <x:formula1>"Select an option,Fixed fee , Per GB"</x:formula1>
    </x:dataValidation>
    <x:dataValidation type="list" allowBlank="1" showInputMessage="1" showErrorMessage="1" sqref="F15:F18">
      <x:formula1>"Select an option,Per-module subscription ,One-time purchase"</x:formula1>
    </x:dataValidation>
  </x:dataValidations>
  <x:pageMargins left="0.7" right="0.7" top="0.75" bottom="0.75" header="0.3" footer="0.3"/>
  <x:drawing xmlns:r="http://schemas.openxmlformats.org/officeDocument/2006/relationships" r:id="R429d481768704372"/>
</x:worksheet>
</file>

<file path=xl/worksheets/sheet2.xml><?xml version="1.0" encoding="utf-8"?>
<x:worksheet xmlns:x="http://schemas.openxmlformats.org/spreadsheetml/2006/main">
  <x:sheetViews>
    <x:sheetView showGridLines="0" workbookViewId="0"/>
  </x:sheetViews>
  <x:sheetFormatPr baseColWidth="10" defaultColWidth="8.83203125" defaultRowHeight="15"/>
  <x:sheetData>
    <x:row r="3" ht="28" customHeight="1">
      <x:c r="A3" s="83" t="str">
        <x:v>Pricing Overview — OCI Observability Only</x:v>
      </x:c>
      <x:c r="B3" s="84"/>
      <x:c r="C3" s="84"/>
      <x:c r="D3" s="84"/>
      <x:c r="E3" s="84"/>
      <x:c r="F3" s="84"/>
      <x:c r="G3" s="84"/>
      <x:c r="H3" s="84"/>
      <x:c r="I3" s="84"/>
      <x:c r="J3" s="84"/>
      <x:c r="K3" s="84"/>
      <x:c r="L3" s="84"/>
      <x:c r="M3" s="84"/>
    </x:row>
    <x:row r="4" ht="24" customHeight="1">
      <x:c r="A4" s="85" t="str">
        <x:v>Customer-format pricing workbook and five-year TCO</x:v>
      </x:c>
      <x:c r="B4" s="86"/>
      <x:c r="C4" s="86"/>
      <x:c r="D4" s="86"/>
      <x:c r="E4" s="86"/>
      <x:c r="F4" s="86"/>
      <x:c r="G4" s="86"/>
      <x:c r="H4" s="86"/>
      <x:c r="I4" s="86"/>
      <x:c r="J4" s="86"/>
      <x:c r="K4" s="86"/>
      <x:c r="L4" s="86"/>
      <x:c r="M4" s="86"/>
    </x:row>
    <x:row r="5" ht="52" customHeight="1">
      <x:c r="A5" s="91" t="str">
        <x:v>The Commercials sheet contains only OCI Observability services and documented supporting components. All service quantities other than the stated APM presumption remain zero until discovery confirms monthly usage, storage, clusters and notification volumes.</x:v>
      </x:c>
      <x:c r="B5" s="92"/>
      <x:c r="C5" s="92"/>
      <x:c r="D5" s="92"/>
      <x:c r="E5" s="92"/>
      <x:c r="F5" s="92"/>
      <x:c r="G5" s="92"/>
      <x:c r="H5" s="92"/>
      <x:c r="I5" s="92"/>
      <x:c r="J5" s="92"/>
      <x:c r="K5" s="92"/>
      <x:c r="L5" s="92"/>
      <x:c r="M5" s="92"/>
    </x:row>
    <x:row r="6" ht="52" customHeight="1">
      <x:c r="A6" s="91" t="str">
        <x:v>APM working presumption: 300 GB active storage = 1 × B95634 at USD 372/month, USD 4,464/year and USD 22,320 over five years. The final Oracle quote must confirm this commercial mapping.</x:v>
      </x:c>
      <x:c r="B6" s="92"/>
      <x:c r="C6" s="92"/>
      <x:c r="D6" s="92"/>
      <x:c r="E6" s="92"/>
      <x:c r="F6" s="92"/>
      <x:c r="G6" s="92"/>
      <x:c r="H6" s="92"/>
      <x:c r="I6" s="92"/>
      <x:c r="J6" s="92"/>
      <x:c r="K6" s="92"/>
      <x:c r="L6" s="92"/>
      <x:c r="M6" s="92"/>
    </x:row>
    <x:row r="7" ht="52" customHeight="1">
      <x:c r="A7" s="92" t="str">
        <x:v>The customer provides the Kubernetes platform and required access. Kubernetes Monitoring Solution deployment is manual through Helm/manifests and consumes the listed OCI Observability services.</x:v>
      </x:c>
      <x:c r="B7" s="92"/>
      <x:c r="C7" s="92"/>
      <x:c r="D7" s="92"/>
      <x:c r="E7" s="92"/>
      <x:c r="F7" s="92"/>
      <x:c r="G7" s="92"/>
      <x:c r="H7" s="92"/>
      <x:c r="I7" s="92"/>
      <x:c r="J7" s="92"/>
      <x:c r="K7" s="92"/>
      <x:c r="L7" s="92"/>
      <x:c r="M7" s="92"/>
    </x:row>
    <x:row r="8" ht="52" customHeight="1">
      <x:c r="A8" s="92" t="str">
        <x:v>Public PAYG values were refreshed from Oracle's official pricing API on 2026-08-04. Contracted pricing, taxes, support, implementation and non-Observability products are excluded.</x:v>
      </x:c>
      <x:c r="B8" s="92"/>
      <x:c r="C8" s="92"/>
      <x:c r="D8" s="92"/>
      <x:c r="E8" s="92"/>
      <x:c r="F8" s="92"/>
      <x:c r="G8" s="92"/>
      <x:c r="H8" s="92"/>
      <x:c r="I8" s="92"/>
      <x:c r="J8" s="92"/>
      <x:c r="K8" s="92"/>
      <x:c r="L8" s="92"/>
      <x:c r="M8" s="92"/>
    </x:row>
  </x:sheetData>
  <x:mergeCells>
    <x:mergeCell ref="A6:M6"/>
    <x:mergeCell ref="A4:M4"/>
    <x:mergeCell ref="A5:M5"/>
    <x:mergeCell ref="A3:M3"/>
    <x:mergeCell ref="A7:M7"/>
    <x:mergeCell ref="A8:M8"/>
  </x:mergeCells>
  <x:pageMargins left="0.7" right="0.7" top="0.75" bottom="0.75" header="0.3" footer="0.3"/>
</x:worksheet>
</file>

<file path=xl/worksheets/sheet3.xml><?xml version="1.0" encoding="utf-8"?>
<x:worksheet xmlns:x="http://schemas.openxmlformats.org/spreadsheetml/2006/main">
  <x:sheetFormatPr baseColWidth="10" defaultColWidth="8.83203125" defaultRowHeight="15"/>
  <x:cols>
    <x:col min="1" max="1" width="4.83203125" customWidth="1"/>
  </x:cols>
  <x:sheetData>
    <x:row r="3">
      <x:c r="B3" s="21" t="s">
        <x:v>1</x:v>
      </x:c>
      <x:c r="C3" s="21"/>
      <x:c r="D3" s="21"/>
      <x:c r="E3" s="21"/>
    </x:row>
    <x:row r="6">
      <x:c r="B6" s="21" t="s">
        <x:v>2</x:v>
      </x:c>
      <x:c r="C6" s="21"/>
      <x:c r="D6" s="21"/>
      <x:c r="E6" s="21"/>
      <x:c r="F6" s="21"/>
      <x:c r="G6" s="21"/>
    </x:row>
    <x:row r="8">
      <x:c r="B8" t="s">
        <x:v>3</x:v>
      </x:c>
    </x:row>
    <x:row r="10">
      <x:c r="B10" t="s">
        <x:v>4</x:v>
      </x:c>
    </x:row>
    <x:row r="12">
      <x:c r="B12" t="s">
        <x:v>5</x:v>
      </x:c>
    </x:row>
    <x:row r="14">
      <x:c r="B14" s="21" t="s">
        <x:v>6</x:v>
      </x:c>
    </x:row>
    <x:row r="16">
      <x:c r="B16" t="s">
        <x:v>7</x:v>
      </x:c>
    </x:row>
    <x:row r="18">
      <x:c r="B18" t="s">
        <x:v>8</x:v>
      </x:c>
    </x:row>
    <x:row r="20">
      <x:c r="B20" t="s">
        <x:v>9</x:v>
      </x:c>
    </x:row>
    <x:row r="22">
      <x:c r="B22" s="21" t="s">
        <x:v>10</x:v>
      </x:c>
    </x:row>
    <x:row r="24">
      <x:c r="B24" t="s">
        <x:v>11</x:v>
      </x:c>
    </x:row>
    <x:row r="26">
      <x:c r="B26" s="21" t="s">
        <x:v>12</x:v>
      </x:c>
    </x:row>
    <x:row r="28">
      <x:c r="B28" t="s">
        <x:v>13</x:v>
      </x:c>
    </x:row>
    <x:row r="30">
      <x:c r="B30" s="21" t="s">
        <x:v>14</x:v>
      </x:c>
    </x:row>
    <x:row r="32">
      <x:c r="B32" t="s">
        <x:v>15</x:v>
      </x:c>
    </x:row>
    <x:row r="34">
      <x:c r="B34" t="s">
        <x:v>16</x:v>
      </x:c>
    </x:row>
    <x:row r="36">
      <x:c r="B36" t="s">
        <x:v>17</x:v>
      </x:c>
    </x:row>
    <x:row r="38">
      <x:c r="B38" s="21" t="s">
        <x:v>18</x:v>
      </x:c>
    </x:row>
    <x:row r="40">
      <x:c r="B40" t="s">
        <x:v>19</x:v>
      </x:c>
    </x:row>
    <x:row r="42">
      <x:c r="B42" s="21" t="s">
        <x:v>20</x:v>
      </x:c>
    </x:row>
    <x:row r="44">
      <x:c r="B44" t="s">
        <x:v>21</x:v>
      </x:c>
    </x:row>
  </x:sheetData>
  <x:pageMargins left="0.7" right="0.7" top="0.75" bottom="0.75" header="0.3" footer="0.3"/>
  <x:drawing xmlns:r="http://schemas.openxmlformats.org/officeDocument/2006/relationships" r:id="R573900150dfc4875"/>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30" hidden="0" customWidth="1"/>
    <x:col min="3" max="3" width="24" hidden="0" customWidth="1"/>
    <x:col min="4" max="4" width="13" hidden="0" customWidth="1"/>
    <x:col min="5" max="5" width="15" hidden="0" customWidth="1"/>
    <x:col min="6" max="6" width="15" hidden="0" customWidth="1"/>
    <x:col min="7" max="7" width="16" hidden="0" customWidth="1"/>
    <x:col min="8" max="8" width="68" hidden="0" customWidth="1"/>
  </x:cols>
  <x:sheetData>
    <x:row r="1" ht="28" customHeight="1">
      <x:c r="A1" s="95" t="str">
        <x:v>OCI Observability Public PAYG Price Inputs</x:v>
      </x:c>
      <x:c r="B1" s="95"/>
      <x:c r="C1" s="95"/>
      <x:c r="D1" s="95"/>
      <x:c r="E1" s="95"/>
      <x:c r="F1" s="95"/>
      <x:c r="G1" s="95"/>
      <x:c r="H1" s="95"/>
    </x:row>
    <x:row r="2" ht="32" customHeight="1">
      <x:c r="A2" s="98" t="str">
        <x:v>Official Oracle pricing API values retrieved 2026-08-04. Final Oracle quote and applicable agreement govern.</x:v>
      </x:c>
      <x:c r="B2" s="98"/>
      <x:c r="C2" s="98"/>
      <x:c r="D2" s="98"/>
      <x:c r="E2" s="98"/>
      <x:c r="F2" s="98"/>
      <x:c r="G2" s="98"/>
      <x:c r="H2" s="98"/>
    </x:row>
    <x:row r="4" ht="34" customHeight="1">
      <x:c r="A4" s="104" t="str">
        <x:v>Part Number</x:v>
      </x:c>
      <x:c r="B4" s="104" t="str">
        <x:v>Service</x:v>
      </x:c>
      <x:c r="C4" s="104" t="str">
        <x:v>Metric</x:v>
      </x:c>
      <x:c r="D4" s="104" t="str">
        <x:v>Tier Start</x:v>
      </x:c>
      <x:c r="E4" s="104" t="str">
        <x:v>Tier End</x:v>
      </x:c>
      <x:c r="F4" s="104" t="str">
        <x:v>USD PAYG Rate</x:v>
      </x:c>
      <x:c r="G4" s="104" t="str">
        <x:v>Billing Basis</x:v>
      </x:c>
      <x:c r="H4" s="104" t="str">
        <x:v>Official Source / Note</x:v>
      </x:c>
    </x:row>
    <x:row r="5" ht="34" customHeight="1">
      <x:c r="A5" s="108" t="str">
        <x:v>B90925</x:v>
      </x:c>
      <x:c r="B5" s="108" t="str">
        <x:v>Monitoring — Ingestion</x:v>
      </x:c>
      <x:c r="C5" s="108" t="str">
        <x:v>Million Datapoints</x:v>
      </x:c>
      <x:c r="D5" s="114" t="n">
        <x:v>0</x:v>
      </x:c>
      <x:c r="E5" s="114" t="n">
        <x:v>500</x:v>
      </x:c>
      <x:c r="F5" s="113" t="n">
        <x:v>0</x:v>
      </x:c>
      <x:c r="G5" s="108" t="str">
        <x:v>Per month</x:v>
      </x:c>
      <x:c r="H5" s="108" t="str">
        <x:v>https://apexapps.oracle.com/pls/apex/cetools/api/v1/products/?partNumber=B90925&amp;currencyCode=USD</x:v>
      </x:c>
    </x:row>
    <x:row r="6" ht="34" customHeight="1">
      <x:c r="A6" s="108" t="str">
        <x:v>B90925</x:v>
      </x:c>
      <x:c r="B6" s="108" t="str">
        <x:v>Monitoring — Ingestion</x:v>
      </x:c>
      <x:c r="C6" s="108" t="str">
        <x:v>Million Datapoints</x:v>
      </x:c>
      <x:c r="D6" s="114" t="n">
        <x:v>500</x:v>
      </x:c>
      <x:c r="E6" s="114" t="n">
        <x:v>999999999</x:v>
      </x:c>
      <x:c r="F6" s="113" t="n">
        <x:v>0.0025</x:v>
      </x:c>
      <x:c r="G6" s="108" t="str">
        <x:v>Per month</x:v>
      </x:c>
      <x:c r="H6" s="108" t="str">
        <x:v>https://apexapps.oracle.com/pls/apex/cetools/api/v1/products/?partNumber=B90925&amp;currencyCode=USD</x:v>
      </x:c>
    </x:row>
    <x:row r="7" ht="34" customHeight="1">
      <x:c r="A7" s="108" t="str">
        <x:v>B90926</x:v>
      </x:c>
      <x:c r="B7" s="108" t="str">
        <x:v>Monitoring — Retrieval</x:v>
      </x:c>
      <x:c r="C7" s="108" t="str">
        <x:v>Million Datapoints</x:v>
      </x:c>
      <x:c r="D7" s="114" t="n">
        <x:v>0</x:v>
      </x:c>
      <x:c r="E7" s="114" t="n">
        <x:v>1000</x:v>
      </x:c>
      <x:c r="F7" s="113" t="n">
        <x:v>0</x:v>
      </x:c>
      <x:c r="G7" s="108" t="str">
        <x:v>Per month</x:v>
      </x:c>
      <x:c r="H7" s="108" t="str">
        <x:v>https://apexapps.oracle.com/pls/apex/cetools/api/v1/products/?partNumber=B90926&amp;currencyCode=USD</x:v>
      </x:c>
    </x:row>
    <x:row r="8" ht="34" customHeight="1">
      <x:c r="A8" s="108" t="str">
        <x:v>B90926</x:v>
      </x:c>
      <x:c r="B8" s="108" t="str">
        <x:v>Monitoring — Retrieval</x:v>
      </x:c>
      <x:c r="C8" s="108" t="str">
        <x:v>Million Datapoints</x:v>
      </x:c>
      <x:c r="D8" s="114" t="n">
        <x:v>1000</x:v>
      </x:c>
      <x:c r="E8" s="114" t="n">
        <x:v>999999999</x:v>
      </x:c>
      <x:c r="F8" s="113" t="n">
        <x:v>0.0015</x:v>
      </x:c>
      <x:c r="G8" s="108" t="str">
        <x:v>Per month</x:v>
      </x:c>
      <x:c r="H8" s="108" t="str">
        <x:v>https://apexapps.oracle.com/pls/apex/cetools/api/v1/products/?partNumber=B90926&amp;currencyCode=USD</x:v>
      </x:c>
    </x:row>
    <x:row r="9" ht="34" customHeight="1">
      <x:c r="A9" s="108" t="str">
        <x:v>B92593</x:v>
      </x:c>
      <x:c r="B9" s="108" t="str">
        <x:v>OCI Logging — Storage</x:v>
      </x:c>
      <x:c r="C9" s="108" t="str">
        <x:v>GB Log Storage</x:v>
      </x:c>
      <x:c r="D9" s="114" t="n">
        <x:v>0</x:v>
      </x:c>
      <x:c r="E9" s="114" t="n">
        <x:v>10</x:v>
      </x:c>
      <x:c r="F9" s="113" t="n">
        <x:v>0</x:v>
      </x:c>
      <x:c r="G9" s="108" t="str">
        <x:v>GB-month</x:v>
      </x:c>
      <x:c r="H9" s="108" t="str">
        <x:v>https://apexapps.oracle.com/pls/apex/cetools/api/v1/products/?partNumber=B92593&amp;currencyCode=USD</x:v>
      </x:c>
    </x:row>
    <x:row r="10" ht="34" customHeight="1">
      <x:c r="A10" s="108" t="str">
        <x:v>B92593</x:v>
      </x:c>
      <x:c r="B10" s="108" t="str">
        <x:v>OCI Logging — Storage</x:v>
      </x:c>
      <x:c r="C10" s="108" t="str">
        <x:v>GB Log Storage</x:v>
      </x:c>
      <x:c r="D10" s="114" t="n">
        <x:v>10</x:v>
      </x:c>
      <x:c r="E10" s="114" t="n">
        <x:v>999999999</x:v>
      </x:c>
      <x:c r="F10" s="113" t="n">
        <x:v>0.05</x:v>
      </x:c>
      <x:c r="G10" s="108" t="str">
        <x:v>GB-month</x:v>
      </x:c>
      <x:c r="H10" s="108" t="str">
        <x:v>https://apexapps.oracle.com/pls/apex/cetools/api/v1/products/?partNumber=B92593&amp;currencyCode=USD</x:v>
      </x:c>
    </x:row>
    <x:row r="11" ht="34" customHeight="1">
      <x:c r="A11" s="108" t="str">
        <x:v>B95634</x:v>
      </x:c>
      <x:c r="B11" s="108" t="str">
        <x:v>Log Analytics — Active Storage</x:v>
      </x:c>
      <x:c r="C11" s="108" t="str">
        <x:v>Active Storage Unit</x:v>
      </x:c>
      <x:c r="D11" s="114" t="n">
        <x:v>0</x:v>
      </x:c>
      <x:c r="E11" s="114" t="n">
        <x:v>35</x:v>
      </x:c>
      <x:c r="F11" s="113" t="n">
        <x:v>372</x:v>
      </x:c>
      <x:c r="G11" s="108" t="str">
        <x:v>Unit-month</x:v>
      </x:c>
      <x:c r="H11" s="108" t="str">
        <x:v>https://apexapps.oracle.com/pls/apex/cetools/api/v1/products/?partNumber=B95634&amp;currencyCode=USD</x:v>
      </x:c>
    </x:row>
    <x:row r="12" ht="34" customHeight="1">
      <x:c r="A12" s="108" t="str">
        <x:v>B95634</x:v>
      </x:c>
      <x:c r="B12" s="108" t="str">
        <x:v>Log Analytics — Active Storage</x:v>
      </x:c>
      <x:c r="C12" s="108" t="str">
        <x:v>Active Storage Unit</x:v>
      </x:c>
      <x:c r="D12" s="114" t="n">
        <x:v>35</x:v>
      </x:c>
      <x:c r="E12" s="114" t="n">
        <x:v>103</x:v>
      </x:c>
      <x:c r="F12" s="113" t="n">
        <x:v>260.4</x:v>
      </x:c>
      <x:c r="G12" s="108" t="str">
        <x:v>Unit-month</x:v>
      </x:c>
      <x:c r="H12" s="108" t="str">
        <x:v>https://apexapps.oracle.com/pls/apex/cetools/api/v1/products/?partNumber=B95634&amp;currencyCode=USD</x:v>
      </x:c>
    </x:row>
    <x:row r="13" ht="34" customHeight="1">
      <x:c r="A13" s="108" t="str">
        <x:v>B95634</x:v>
      </x:c>
      <x:c r="B13" s="108" t="str">
        <x:v>Log Analytics — Active Storage</x:v>
      </x:c>
      <x:c r="C13" s="108" t="str">
        <x:v>Active Storage Unit</x:v>
      </x:c>
      <x:c r="D13" s="114" t="n">
        <x:v>103</x:v>
      </x:c>
      <x:c r="E13" s="114" t="n">
        <x:v>999999999999999</x:v>
      </x:c>
      <x:c r="F13" s="113" t="n">
        <x:v>223.2</x:v>
      </x:c>
      <x:c r="G13" s="108" t="str">
        <x:v>Unit-month</x:v>
      </x:c>
      <x:c r="H13" s="108" t="str">
        <x:v>https://apexapps.oracle.com/pls/apex/cetools/api/v1/products/?partNumber=B95634&amp;currencyCode=USD</x:v>
      </x:c>
    </x:row>
    <x:row r="14" ht="34" customHeight="1">
      <x:c r="A14" s="108" t="str">
        <x:v>B92809</x:v>
      </x:c>
      <x:c r="B14" s="108" t="str">
        <x:v>Log Analytics — Archival Storage</x:v>
      </x:c>
      <x:c r="C14" s="108" t="str">
        <x:v>Archival Storage Unit</x:v>
      </x:c>
      <x:c r="D14" s="114" t="n">
        <x:v>0</x:v>
      </x:c>
      <x:c r="E14" s="114"/>
      <x:c r="F14" s="113" t="n">
        <x:v>0.02</x:v>
      </x:c>
      <x:c r="G14" s="108" t="str">
        <x:v>Unit-hour</x:v>
      </x:c>
      <x:c r="H14" s="108" t="str">
        <x:v>https://apexapps.oracle.com/pls/apex/cetools/api/v1/products/?partNumber=B92809&amp;currencyCode=USD</x:v>
      </x:c>
    </x:row>
    <x:row r="15" ht="34" customHeight="1">
      <x:c r="A15" s="108" t="str">
        <x:v>B90940</x:v>
      </x:c>
      <x:c r="B15" s="108" t="str">
        <x:v>Notifications — HTTPS Delivery</x:v>
      </x:c>
      <x:c r="C15" s="108" t="str">
        <x:v>Million Delivery Operations</x:v>
      </x:c>
      <x:c r="D15" s="114" t="n">
        <x:v>0</x:v>
      </x:c>
      <x:c r="E15" s="114" t="n">
        <x:v>1</x:v>
      </x:c>
      <x:c r="F15" s="113" t="n">
        <x:v>0</x:v>
      </x:c>
      <x:c r="G15" s="108" t="str">
        <x:v>Per month</x:v>
      </x:c>
      <x:c r="H15" s="108" t="str">
        <x:v>https://apexapps.oracle.com/pls/apex/cetools/api/v1/products/?partNumber=B90940&amp;currencyCode=USD</x:v>
      </x:c>
    </x:row>
    <x:row r="16" ht="34" customHeight="1">
      <x:c r="A16" s="108" t="str">
        <x:v>B90940</x:v>
      </x:c>
      <x:c r="B16" s="108" t="str">
        <x:v>Notifications — HTTPS Delivery</x:v>
      </x:c>
      <x:c r="C16" s="108" t="str">
        <x:v>Million Delivery Operations</x:v>
      </x:c>
      <x:c r="D16" s="114" t="n">
        <x:v>1</x:v>
      </x:c>
      <x:c r="E16" s="114" t="n">
        <x:v>999999999</x:v>
      </x:c>
      <x:c r="F16" s="113" t="n">
        <x:v>0.6</x:v>
      </x:c>
      <x:c r="G16" s="108" t="str">
        <x:v>Per month</x:v>
      </x:c>
      <x:c r="H16" s="108" t="str">
        <x:v>https://apexapps.oracle.com/pls/apex/cetools/api/v1/products/?partNumber=B90940&amp;currencyCode=USD</x:v>
      </x:c>
    </x:row>
    <x:row r="17" ht="34" customHeight="1">
      <x:c r="A17" s="108" t="str">
        <x:v>B90941</x:v>
      </x:c>
      <x:c r="B17" s="108" t="str">
        <x:v>Notifications — Email Delivery</x:v>
      </x:c>
      <x:c r="C17" s="108" t="str">
        <x:v>1,000 Emails Sent</x:v>
      </x:c>
      <x:c r="D17" s="114" t="n">
        <x:v>0</x:v>
      </x:c>
      <x:c r="E17" s="114" t="n">
        <x:v>1</x:v>
      </x:c>
      <x:c r="F17" s="113" t="n">
        <x:v>0</x:v>
      </x:c>
      <x:c r="G17" s="108" t="str">
        <x:v>Per month</x:v>
      </x:c>
      <x:c r="H17" s="108" t="str">
        <x:v>https://apexapps.oracle.com/pls/apex/cetools/api/v1/products/?partNumber=B90941&amp;currencyCode=USD</x:v>
      </x:c>
    </x:row>
    <x:row r="18" ht="34" customHeight="1">
      <x:c r="A18" s="108" t="str">
        <x:v>B90941</x:v>
      </x:c>
      <x:c r="B18" s="108" t="str">
        <x:v>Notifications — Email Delivery</x:v>
      </x:c>
      <x:c r="C18" s="108" t="str">
        <x:v>1,000 Emails Sent</x:v>
      </x:c>
      <x:c r="D18" s="114" t="n">
        <x:v>1</x:v>
      </x:c>
      <x:c r="E18" s="114" t="n">
        <x:v>999999999</x:v>
      </x:c>
      <x:c r="F18" s="113" t="n">
        <x:v>0.02</x:v>
      </x:c>
      <x:c r="G18" s="108" t="str">
        <x:v>Per month</x:v>
      </x:c>
      <x:c r="H18" s="108" t="str">
        <x:v>https://apexapps.oracle.com/pls/apex/cetools/api/v1/products/?partNumber=B90941&amp;currencyCode=USD</x:v>
      </x:c>
    </x:row>
    <x:row r="20">
      <x:c r="A20" s="111" t="str">
        <x:v>APM active storage GB per assumed B95634 unit</x:v>
      </x:c>
      <x:c r="B20" s="111"/>
      <x:c r="C20" s="111"/>
      <x:c r="D20" s="112" t="n">
        <x:v>300</x:v>
      </x:c>
    </x:row>
    <x:row r="21">
      <x:c r="A21" s="111" t="str">
        <x:v>Months per year</x:v>
      </x:c>
      <x:c r="B21" s="111"/>
      <x:c r="C21" s="111"/>
      <x:c r="D21" s="112" t="n">
        <x:v>12</x:v>
      </x:c>
    </x:row>
    <x:row r="22">
      <x:c r="A22" s="111" t="str">
        <x:v>Hours per standard pricing year</x:v>
      </x:c>
      <x:c r="B22" s="111"/>
      <x:c r="C22" s="111"/>
      <x:c r="D22" s="112" t="n">
        <x:v>8760</x:v>
      </x:c>
    </x:row>
    <x:row r="23">
      <x:c r="A23" s="111" t="str">
        <x:v>Pricing retrieval date</x:v>
      </x:c>
      <x:c r="B23" s="111"/>
      <x:c r="C23" s="111"/>
      <x:c r="D23" s="112" t="str">
        <x:v>2026-08-04</x:v>
      </x:c>
    </x:row>
  </x:sheetData>
  <x:mergeCells>
    <x:mergeCell ref="A1:H1"/>
    <x:mergeCell ref="A2:H2"/>
    <x:mergeCell ref="A20:C20"/>
    <x:mergeCell ref="A21:C21"/>
    <x:mergeCell ref="A22:C22"/>
    <x:mergeCell ref="A23:C23"/>
  </x:mergeCells>
  <x:pageMargins left="0.7" right="0.7" top="0.75" bottom="0.75" header="0.3" footer="0.3"/>
</x:worksheet>
</file>